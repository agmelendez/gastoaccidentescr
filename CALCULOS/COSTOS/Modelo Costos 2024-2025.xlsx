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2024" sheetId="2" r:id="rId5"/>
    <sheet state="visible" name="Resumen 2024" sheetId="3" r:id="rId6"/>
    <sheet state="visible" name="2025" sheetId="4" r:id="rId7"/>
    <sheet state="visible" name="Resumen 2025" sheetId="5" r:id="rId8"/>
    <sheet state="visible" name="resumen general" sheetId="6" r:id="rId9"/>
  </sheets>
  <definedNames/>
  <calcPr/>
</workbook>
</file>

<file path=xl/sharedStrings.xml><?xml version="1.0" encoding="utf-8"?>
<sst xmlns="http://schemas.openxmlformats.org/spreadsheetml/2006/main" count="385" uniqueCount="62">
  <si>
    <t xml:space="preserve">Caso  </t>
  </si>
  <si>
    <t xml:space="preserve">Descripción </t>
  </si>
  <si>
    <t>Cantidad 2024</t>
  </si>
  <si>
    <t>Cantidad 2025</t>
  </si>
  <si>
    <t>Caso 1</t>
  </si>
  <si>
    <t xml:space="preserve">muerte en traslado/hospital            </t>
  </si>
  <si>
    <t>Caso 2</t>
  </si>
  <si>
    <t xml:space="preserve"> herido grave       </t>
  </si>
  <si>
    <t>Caso 3</t>
  </si>
  <si>
    <t xml:space="preserve">herido leve        </t>
  </si>
  <si>
    <t>Caso 4</t>
  </si>
  <si>
    <t xml:space="preserve">ileso                </t>
  </si>
  <si>
    <t>Caso 5</t>
  </si>
  <si>
    <t xml:space="preserve">muerte en sitio </t>
  </si>
  <si>
    <t xml:space="preserve">muerte en sitio                </t>
  </si>
  <si>
    <t>Caso</t>
  </si>
  <si>
    <t>Categoria vehiculo</t>
  </si>
  <si>
    <t>Total 2024</t>
  </si>
  <si>
    <t>Porcentaje Perdida</t>
  </si>
  <si>
    <t>Totales por caso</t>
  </si>
  <si>
    <t>Costo Valor de Vida</t>
  </si>
  <si>
    <t xml:space="preserve">Costo Reparación </t>
  </si>
  <si>
    <t>Costo Medico</t>
  </si>
  <si>
    <t>Costos Medico y Valor de Vida</t>
  </si>
  <si>
    <t xml:space="preserve">Costo FInal con reparación de vehiculo </t>
  </si>
  <si>
    <t>Costo Medico por caso</t>
  </si>
  <si>
    <t>Vida por Caso</t>
  </si>
  <si>
    <t xml:space="preserve">Total Perdida por vehiculo </t>
  </si>
  <si>
    <t>Total todos vehiculos</t>
  </si>
  <si>
    <t>Total Vida</t>
  </si>
  <si>
    <t>Total Medico</t>
  </si>
  <si>
    <t>Total Situación</t>
  </si>
  <si>
    <t>Bicicleta</t>
  </si>
  <si>
    <t>Carga liviana</t>
  </si>
  <si>
    <t>Carga pesada</t>
  </si>
  <si>
    <t>Motocicleta</t>
  </si>
  <si>
    <t>Particular</t>
  </si>
  <si>
    <t>Desconocido/ No aplica</t>
  </si>
  <si>
    <t>Total 2025</t>
  </si>
  <si>
    <t xml:space="preserve">PIB 2024 </t>
  </si>
  <si>
    <t>Incorporación al PIB</t>
  </si>
  <si>
    <t xml:space="preserve">Porcentaje PIB </t>
  </si>
  <si>
    <t>Total</t>
  </si>
  <si>
    <t xml:space="preserve">Caso </t>
  </si>
  <si>
    <t>Porcentaje del PIB por caso</t>
  </si>
  <si>
    <t xml:space="preserve">Porcentaje total del PIB 2024 </t>
  </si>
  <si>
    <t xml:space="preserve">Caso 2 </t>
  </si>
  <si>
    <t xml:space="preserve">Caso 4 </t>
  </si>
  <si>
    <t xml:space="preserve">Caso 5 </t>
  </si>
  <si>
    <t>PIB 2025</t>
  </si>
  <si>
    <t>Porcentaje PIB</t>
  </si>
  <si>
    <t>Doscientos veintiún mil quinientos veintisiete millones ciento ochenta y tres mil ciento treinta y dos colones</t>
  </si>
  <si>
    <t>Porcentaje PIB 2025</t>
  </si>
  <si>
    <t>Año</t>
  </si>
  <si>
    <t>Descripción</t>
  </si>
  <si>
    <t>Total_Situación</t>
  </si>
  <si>
    <t>Porcentaje_por_caso</t>
  </si>
  <si>
    <t>muerte en traslado/hospital</t>
  </si>
  <si>
    <t>herido grave</t>
  </si>
  <si>
    <t>herido leve</t>
  </si>
  <si>
    <t>ileso</t>
  </si>
  <si>
    <t>muerte en sitio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</si>
</sst>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000000"/>
      <name val="&quot;DejaVu Sans&quot;"/>
    </font>
    <font>
      <b/>
      <sz val="8.0"/>
      <color rgb="FF000000"/>
      <name val="&quot;DejaVu Sans&quot;"/>
    </font>
    <font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FF0000"/>
      <name val="Arial"/>
      <scheme val="minor"/>
    </font>
    <font>
      <color rgb="FFFF0000"/>
      <name val="Arial"/>
      <scheme val="minor"/>
    </font>
    <font>
      <sz val="10.0"/>
      <color rgb="FFFF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4F8F9"/>
        <bgColor rgb="FFF4F8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0" fillId="2" fontId="4" numFmtId="0" xfId="0" applyAlignment="1" applyFill="1" applyFont="1">
      <alignment horizontal="right" readingOrder="0" shrinkToFit="0" wrapText="0"/>
    </xf>
    <xf borderId="0" fillId="0" fontId="1" numFmtId="0" xfId="0" applyAlignment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2" numFmtId="4" xfId="0" applyAlignment="1" applyFont="1" applyNumberFormat="1">
      <alignment readingOrder="0"/>
    </xf>
    <xf borderId="0" fillId="3" fontId="6" numFmtId="4" xfId="0" applyAlignment="1" applyFont="1" applyNumberFormat="1">
      <alignment horizontal="right" vertical="bottom"/>
    </xf>
    <xf borderId="0" fillId="3" fontId="2" numFmtId="4" xfId="0" applyFont="1" applyNumberFormat="1"/>
    <xf borderId="0" fillId="3" fontId="5" numFmtId="4" xfId="0" applyAlignment="1" applyFont="1" applyNumberFormat="1">
      <alignment readingOrder="0"/>
    </xf>
    <xf borderId="0" fillId="3" fontId="7" numFmtId="4" xfId="0" applyAlignment="1" applyFont="1" applyNumberFormat="1">
      <alignment readingOrder="0" shrinkToFit="0" wrapText="0"/>
    </xf>
    <xf borderId="0" fillId="3" fontId="8" numFmtId="4" xfId="0" applyAlignment="1" applyFont="1" applyNumberFormat="1">
      <alignment horizontal="right" vertical="bottom"/>
    </xf>
    <xf borderId="0" fillId="3" fontId="2" numFmtId="0" xfId="0" applyFont="1"/>
    <xf borderId="0" fillId="3" fontId="6" numFmtId="4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 shrinkToFit="0" wrapText="0"/>
    </xf>
    <xf borderId="0" fillId="3" fontId="9" numFmtId="0" xfId="0" applyAlignment="1" applyFont="1">
      <alignment horizontal="center" readingOrder="0"/>
    </xf>
    <xf borderId="0" fillId="3" fontId="6" numFmtId="4" xfId="0" applyAlignment="1" applyFont="1" applyNumberFormat="1">
      <alignment readingOrder="0" vertical="bottom"/>
    </xf>
    <xf borderId="0" fillId="3" fontId="9" numFmtId="0" xfId="0" applyAlignment="1" applyFont="1">
      <alignment readingOrder="0"/>
    </xf>
    <xf borderId="0" fillId="3" fontId="6" numFmtId="4" xfId="0" applyFont="1" applyNumberFormat="1"/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4" xfId="0" applyAlignment="1" applyFont="1" applyNumberFormat="1">
      <alignment readingOrder="0"/>
    </xf>
    <xf borderId="0" fillId="5" fontId="8" numFmtId="4" xfId="0" applyFont="1" applyNumberFormat="1"/>
    <xf borderId="0" fillId="5" fontId="2" numFmtId="4" xfId="0" applyFont="1" applyNumberFormat="1"/>
    <xf borderId="0" fillId="5" fontId="7" numFmtId="4" xfId="0" applyAlignment="1" applyFont="1" applyNumberFormat="1">
      <alignment readingOrder="0" shrinkToFit="0" wrapText="0"/>
    </xf>
    <xf borderId="0" fillId="5" fontId="10" numFmtId="4" xfId="0" applyFont="1" applyNumberFormat="1"/>
    <xf borderId="0" fillId="5" fontId="6" numFmtId="4" xfId="0" applyFont="1" applyNumberFormat="1"/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2" numFmtId="4" xfId="0" applyAlignment="1" applyFont="1" applyNumberFormat="1">
      <alignment readingOrder="0"/>
    </xf>
    <xf borderId="0" fillId="6" fontId="8" numFmtId="4" xfId="0" applyFont="1" applyNumberFormat="1"/>
    <xf borderId="0" fillId="6" fontId="2" numFmtId="4" xfId="0" applyFont="1" applyNumberFormat="1"/>
    <xf borderId="0" fillId="6" fontId="7" numFmtId="4" xfId="0" applyAlignment="1" applyFont="1" applyNumberFormat="1">
      <alignment readingOrder="0" shrinkToFit="0" wrapText="0"/>
    </xf>
    <xf borderId="0" fillId="6" fontId="10" numFmtId="4" xfId="0" applyFont="1" applyNumberFormat="1"/>
    <xf borderId="0" fillId="6" fontId="6" numFmtId="4" xfId="0" applyFont="1" applyNumberFormat="1"/>
    <xf borderId="0" fillId="6" fontId="11" numFmtId="4" xfId="0" applyFont="1" applyNumberFormat="1"/>
    <xf borderId="0" fillId="7" fontId="2" numFmtId="0" xfId="0" applyAlignment="1" applyFill="1" applyFont="1">
      <alignment readingOrder="0"/>
    </xf>
    <xf borderId="0" fillId="7" fontId="2" numFmtId="0" xfId="0" applyFont="1"/>
    <xf borderId="0" fillId="7" fontId="2" numFmtId="4" xfId="0" applyAlignment="1" applyFont="1" applyNumberFormat="1">
      <alignment readingOrder="0"/>
    </xf>
    <xf borderId="0" fillId="7" fontId="8" numFmtId="4" xfId="0" applyFont="1" applyNumberFormat="1"/>
    <xf borderId="0" fillId="7" fontId="2" numFmtId="4" xfId="0" applyFont="1" applyNumberFormat="1"/>
    <xf borderId="0" fillId="7" fontId="7" numFmtId="4" xfId="0" applyAlignment="1" applyFont="1" applyNumberFormat="1">
      <alignment readingOrder="0" shrinkToFit="0" wrapText="0"/>
    </xf>
    <xf borderId="0" fillId="7" fontId="7" numFmtId="0" xfId="0" applyAlignment="1" applyFont="1">
      <alignment readingOrder="0" shrinkToFit="0" wrapText="0"/>
    </xf>
    <xf borderId="0" fillId="7" fontId="6" numFmtId="4" xfId="0" applyFont="1" applyNumberFormat="1"/>
    <xf borderId="0" fillId="8" fontId="2" numFmtId="0" xfId="0" applyAlignment="1" applyFill="1" applyFont="1">
      <alignment readingOrder="0"/>
    </xf>
    <xf borderId="0" fillId="8" fontId="2" numFmtId="4" xfId="0" applyAlignment="1" applyFont="1" applyNumberFormat="1">
      <alignment readingOrder="0"/>
    </xf>
    <xf borderId="0" fillId="8" fontId="9" numFmtId="4" xfId="0" applyFont="1" applyNumberFormat="1"/>
    <xf borderId="0" fillId="8" fontId="2" numFmtId="4" xfId="0" applyFont="1" applyNumberFormat="1"/>
    <xf borderId="0" fillId="8" fontId="7" numFmtId="4" xfId="0" applyAlignment="1" applyFont="1" applyNumberFormat="1">
      <alignment readingOrder="0" shrinkToFit="0" wrapText="0"/>
    </xf>
    <xf borderId="0" fillId="8" fontId="2" numFmtId="0" xfId="0" applyFont="1"/>
    <xf borderId="0" fillId="8" fontId="0" numFmtId="4" xfId="0" applyAlignment="1" applyFont="1" applyNumberFormat="1">
      <alignment readingOrder="0" shrinkToFit="0" wrapText="0"/>
    </xf>
    <xf borderId="0" fillId="8" fontId="6" numFmtId="4" xfId="0" applyFont="1" applyNumberFormat="1"/>
    <xf borderId="0" fillId="0" fontId="6" numFmtId="4" xfId="0" applyAlignment="1" applyFont="1" applyNumberFormat="1">
      <alignment readingOrder="0" vertical="bottom"/>
    </xf>
    <xf borderId="0" fillId="5" fontId="7" numFmtId="4" xfId="0" applyFont="1" applyNumberFormat="1"/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12" numFmtId="0" xfId="0" applyFont="1"/>
    <xf borderId="0" fillId="3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5" fontId="2" numFmtId="0" xfId="0" applyAlignment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7" fontId="2" numFmtId="0" xfId="0" applyAlignment="1" applyFont="1">
      <alignment readingOrder="0" shrinkToFit="0" wrapText="1"/>
    </xf>
    <xf borderId="0" fillId="8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Font="1"/>
    <xf borderId="0" fillId="0" fontId="9" numFmtId="0" xfId="0" applyFont="1"/>
    <xf borderId="0" fillId="0" fontId="1" numFmtId="10" xfId="0" applyAlignment="1" applyFont="1" applyNumberFormat="1">
      <alignment readingOrder="0"/>
    </xf>
    <xf borderId="0" fillId="0" fontId="0" numFmtId="4" xfId="0" applyAlignment="1" applyFont="1" applyNumberFormat="1">
      <alignment horizontal="right" readingOrder="0" vertical="bottom"/>
    </xf>
    <xf borderId="0" fillId="0" fontId="2" numFmtId="4" xfId="0" applyFont="1" applyNumberFormat="1"/>
    <xf borderId="0" fillId="3" fontId="0" numFmtId="4" xfId="0" applyAlignment="1" applyFont="1" applyNumberFormat="1">
      <alignment horizontal="right" vertical="bottom"/>
    </xf>
    <xf borderId="0" fillId="0" fontId="0" numFmtId="4" xfId="0" applyAlignment="1" applyFont="1" applyNumberFormat="1">
      <alignment readingOrder="0"/>
    </xf>
    <xf borderId="0" fillId="0" fontId="0" numFmtId="4" xfId="0" applyAlignment="1" applyFont="1" applyNumberFormat="1">
      <alignment readingOrder="0" vertical="bottom"/>
    </xf>
    <xf borderId="0" fillId="0" fontId="7" numFmtId="4" xfId="0" applyAlignment="1" applyFont="1" applyNumberFormat="1">
      <alignment readingOrder="0" shrinkToFit="0" wrapText="0"/>
    </xf>
    <xf borderId="0" fillId="3" fontId="8" numFmtId="4" xfId="0" applyAlignment="1" applyFont="1" applyNumberFormat="1">
      <alignment readingOrder="0" vertical="bottom"/>
    </xf>
    <xf borderId="0" fillId="0" fontId="7" numFmtId="0" xfId="0" applyAlignment="1" applyFont="1">
      <alignment readingOrder="0" shrinkToFit="0" wrapText="0"/>
    </xf>
    <xf borderId="0" fillId="0" fontId="9" numFmtId="4" xfId="0" applyFont="1" applyNumberFormat="1"/>
    <xf borderId="0" fillId="0" fontId="7" numFmtId="0" xfId="0" applyAlignment="1" applyFont="1">
      <alignment readingOrder="0"/>
    </xf>
    <xf borderId="0" fillId="0" fontId="11" numFmtId="0" xfId="0" applyFont="1"/>
    <xf borderId="0" fillId="9" fontId="9" numFmtId="0" xfId="0" applyFill="1" applyFont="1"/>
    <xf borderId="0" fillId="0" fontId="1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4" max="5" width="12.88"/>
    <col customWidth="1" min="6" max="9" width="14.13"/>
    <col customWidth="1" min="10" max="10" width="20.88"/>
    <col customWidth="1" min="11" max="11" width="14.38"/>
    <col customWidth="1" min="12" max="12" width="17.0"/>
    <col customWidth="1" min="13" max="13" width="19.38"/>
    <col customWidth="1" min="14" max="14" width="15.88"/>
    <col customWidth="1" min="15" max="15" width="15.38"/>
    <col customWidth="1" min="16" max="16" width="16.38"/>
    <col customWidth="1" min="17" max="17" width="17.38"/>
  </cols>
  <sheetData>
    <row r="1">
      <c r="A1" s="1" t="s">
        <v>0</v>
      </c>
      <c r="B1" s="1" t="s">
        <v>1</v>
      </c>
      <c r="C1" s="1" t="s">
        <v>2</v>
      </c>
      <c r="F1" s="1"/>
      <c r="G1" s="1"/>
      <c r="H1" s="1"/>
      <c r="I1" s="1" t="s">
        <v>0</v>
      </c>
      <c r="J1" s="1" t="s">
        <v>1</v>
      </c>
      <c r="K1" s="1" t="s">
        <v>3</v>
      </c>
    </row>
    <row r="2">
      <c r="A2" s="2" t="s">
        <v>4</v>
      </c>
      <c r="B2" s="2" t="s">
        <v>5</v>
      </c>
      <c r="C2" s="2">
        <v>413.0</v>
      </c>
      <c r="F2" s="2"/>
      <c r="G2" s="2"/>
      <c r="H2" s="2"/>
      <c r="I2" s="2" t="s">
        <v>4</v>
      </c>
      <c r="J2" s="2" t="s">
        <v>5</v>
      </c>
      <c r="K2" s="2">
        <v>447.0</v>
      </c>
    </row>
    <row r="3">
      <c r="A3" s="2" t="s">
        <v>6</v>
      </c>
      <c r="B3" s="2" t="s">
        <v>7</v>
      </c>
      <c r="C3" s="2">
        <v>2369.0</v>
      </c>
      <c r="F3" s="2"/>
      <c r="G3" s="2"/>
      <c r="H3" s="2"/>
      <c r="I3" s="2" t="s">
        <v>6</v>
      </c>
      <c r="J3" s="2" t="s">
        <v>7</v>
      </c>
      <c r="K3" s="2">
        <v>2282.0</v>
      </c>
    </row>
    <row r="4">
      <c r="A4" s="2" t="s">
        <v>8</v>
      </c>
      <c r="B4" s="2" t="s">
        <v>9</v>
      </c>
      <c r="C4" s="2">
        <v>19293.0</v>
      </c>
      <c r="F4" s="2"/>
      <c r="G4" s="2"/>
      <c r="H4" s="2"/>
      <c r="I4" s="2" t="s">
        <v>8</v>
      </c>
      <c r="J4" s="2" t="s">
        <v>9</v>
      </c>
      <c r="K4" s="2">
        <v>19592.0</v>
      </c>
    </row>
    <row r="5">
      <c r="A5" s="2" t="s">
        <v>10</v>
      </c>
      <c r="B5" s="2" t="s">
        <v>11</v>
      </c>
      <c r="C5" s="2">
        <v>14190.0</v>
      </c>
      <c r="F5" s="2"/>
      <c r="G5" s="2"/>
      <c r="H5" s="2"/>
      <c r="I5" s="2" t="s">
        <v>10</v>
      </c>
      <c r="J5" s="2" t="s">
        <v>11</v>
      </c>
      <c r="K5" s="2">
        <v>13550.0</v>
      </c>
    </row>
    <row r="6">
      <c r="A6" s="2" t="s">
        <v>12</v>
      </c>
      <c r="B6" s="2" t="s">
        <v>13</v>
      </c>
      <c r="C6" s="2">
        <v>513.0</v>
      </c>
      <c r="F6" s="2"/>
      <c r="G6" s="2"/>
      <c r="H6" s="2"/>
      <c r="I6" s="2" t="s">
        <v>12</v>
      </c>
      <c r="J6" s="2" t="s">
        <v>14</v>
      </c>
      <c r="K6" s="2">
        <v>555.0</v>
      </c>
      <c r="Q6" s="3"/>
      <c r="R6" s="4"/>
      <c r="S6" s="4"/>
      <c r="T6" s="4"/>
      <c r="U6" s="4"/>
      <c r="V6" s="4"/>
      <c r="W6" s="4"/>
      <c r="X6" s="4"/>
      <c r="Y6" s="4"/>
    </row>
    <row r="7">
      <c r="Q7" s="5"/>
      <c r="R7" s="3"/>
      <c r="S7" s="4"/>
      <c r="T7" s="4"/>
      <c r="U7" s="4"/>
      <c r="V7" s="4"/>
      <c r="W7" s="4"/>
      <c r="X7" s="4"/>
      <c r="Y7" s="4"/>
      <c r="Z7" s="4"/>
    </row>
    <row r="8">
      <c r="Q8" s="5"/>
      <c r="R8" s="3"/>
      <c r="S8" s="4"/>
      <c r="T8" s="4"/>
      <c r="U8" s="4"/>
      <c r="V8" s="4"/>
      <c r="W8" s="4"/>
      <c r="X8" s="4"/>
      <c r="Y8" s="4"/>
      <c r="Z8" s="4"/>
    </row>
    <row r="9">
      <c r="A9" s="6" t="s">
        <v>15</v>
      </c>
      <c r="B9" s="6" t="s">
        <v>16</v>
      </c>
      <c r="C9" s="6" t="s">
        <v>17</v>
      </c>
      <c r="D9" s="6" t="s">
        <v>18</v>
      </c>
      <c r="E9" s="6" t="s">
        <v>19</v>
      </c>
      <c r="F9" s="6" t="s">
        <v>20</v>
      </c>
      <c r="G9" s="6" t="s">
        <v>21</v>
      </c>
      <c r="H9" s="6" t="s">
        <v>22</v>
      </c>
      <c r="I9" s="6" t="s">
        <v>23</v>
      </c>
      <c r="J9" s="6" t="s">
        <v>24</v>
      </c>
      <c r="K9" s="6" t="s">
        <v>25</v>
      </c>
      <c r="L9" s="6" t="s">
        <v>26</v>
      </c>
      <c r="M9" s="6" t="s">
        <v>27</v>
      </c>
      <c r="N9" s="6" t="s">
        <v>28</v>
      </c>
      <c r="O9" s="6" t="s">
        <v>29</v>
      </c>
      <c r="P9" s="6" t="s">
        <v>30</v>
      </c>
      <c r="Q9" s="6" t="s">
        <v>31</v>
      </c>
      <c r="R9" s="3"/>
      <c r="S9" s="4"/>
      <c r="T9" s="4"/>
      <c r="U9" s="4"/>
      <c r="V9" s="4"/>
      <c r="W9" s="4"/>
      <c r="X9" s="4"/>
      <c r="Y9" s="4"/>
      <c r="Z9" s="4"/>
    </row>
    <row r="10">
      <c r="A10" s="7" t="s">
        <v>4</v>
      </c>
      <c r="B10" s="7" t="s">
        <v>32</v>
      </c>
      <c r="C10" s="7">
        <f>ROUND(E10*8.38%,0)</f>
        <v>35</v>
      </c>
      <c r="D10" s="8">
        <f t="shared" ref="D10:D15" si="1">ROUND(C10*91.91%,0)</f>
        <v>32</v>
      </c>
      <c r="E10" s="8">
        <v>413.0</v>
      </c>
      <c r="F10" s="9">
        <v>5465389.0</v>
      </c>
      <c r="G10" s="9">
        <f t="shared" ref="G10:G39" si="2">J10-I10</f>
        <v>300000</v>
      </c>
      <c r="H10" s="9">
        <f t="shared" ref="H10:H39" si="3">I10-F10</f>
        <v>11042513</v>
      </c>
      <c r="I10" s="9">
        <v>1.6507902E7</v>
      </c>
      <c r="J10" s="10">
        <f>300000+I10</f>
        <v>16807902</v>
      </c>
      <c r="K10" s="9">
        <f>11042513*E10</f>
        <v>4560557869</v>
      </c>
      <c r="L10" s="9">
        <f>I10*E10</f>
        <v>6817763526</v>
      </c>
      <c r="M10" s="9">
        <f>G10*D10</f>
        <v>9600000</v>
      </c>
      <c r="N10" s="11">
        <f>SUM(M10:M15)</f>
        <v>1690322000</v>
      </c>
      <c r="O10" s="12">
        <f>SUM(L10:L15)</f>
        <v>8883680568</v>
      </c>
      <c r="P10" s="13">
        <f>SUM(K10:K15)</f>
        <v>8734627783</v>
      </c>
      <c r="Q10" s="14">
        <f>SUM(N10+O10+P10)</f>
        <v>19308630351</v>
      </c>
    </row>
    <row r="11">
      <c r="A11" s="7" t="s">
        <v>4</v>
      </c>
      <c r="B11" s="7" t="s">
        <v>33</v>
      </c>
      <c r="C11" s="7">
        <f>ROUND(E10*6.1%,0)</f>
        <v>25</v>
      </c>
      <c r="D11" s="8">
        <f t="shared" si="1"/>
        <v>23</v>
      </c>
      <c r="E11" s="15"/>
      <c r="F11" s="9">
        <v>5465389.0</v>
      </c>
      <c r="G11" s="9">
        <f t="shared" si="2"/>
        <v>18225000</v>
      </c>
      <c r="H11" s="9">
        <f t="shared" si="3"/>
        <v>11042513</v>
      </c>
      <c r="I11" s="9">
        <v>1.6507902E7</v>
      </c>
      <c r="J11" s="16">
        <v>3.4732902E7</v>
      </c>
      <c r="K11" s="11">
        <f t="shared" ref="K11:K39" si="5">H11*C11</f>
        <v>276062825</v>
      </c>
      <c r="L11" s="9">
        <f t="shared" ref="L11:M11" si="4">F11*C11</f>
        <v>136634725</v>
      </c>
      <c r="M11" s="9">
        <f t="shared" si="4"/>
        <v>419175000</v>
      </c>
      <c r="N11" s="7"/>
      <c r="O11" s="15"/>
      <c r="P11" s="13"/>
      <c r="Q11" s="16"/>
      <c r="R11" s="17"/>
    </row>
    <row r="12">
      <c r="A12" s="7" t="s">
        <v>4</v>
      </c>
      <c r="B12" s="7" t="s">
        <v>34</v>
      </c>
      <c r="C12" s="7">
        <f>ROUND(E10*0.98%,0)</f>
        <v>4</v>
      </c>
      <c r="D12" s="8">
        <f t="shared" si="1"/>
        <v>4</v>
      </c>
      <c r="E12" s="18"/>
      <c r="F12" s="9">
        <v>5465389.0</v>
      </c>
      <c r="G12" s="9">
        <f t="shared" si="2"/>
        <v>25680000</v>
      </c>
      <c r="H12" s="9">
        <f t="shared" si="3"/>
        <v>11042513</v>
      </c>
      <c r="I12" s="9">
        <v>1.6507902E7</v>
      </c>
      <c r="J12" s="16">
        <v>4.2187902E7</v>
      </c>
      <c r="K12" s="11">
        <f t="shared" si="5"/>
        <v>44170052</v>
      </c>
      <c r="L12" s="9">
        <f t="shared" ref="L12:M12" si="6">F12*C12</f>
        <v>21861556</v>
      </c>
      <c r="M12" s="9">
        <f t="shared" si="6"/>
        <v>102720000</v>
      </c>
      <c r="N12" s="7"/>
      <c r="O12" s="15"/>
      <c r="P12" s="13"/>
      <c r="Q12" s="19"/>
    </row>
    <row r="13">
      <c r="A13" s="7" t="s">
        <v>4</v>
      </c>
      <c r="B13" s="7" t="s">
        <v>35</v>
      </c>
      <c r="C13" s="7">
        <f>ROUND(E10*49.5%,0)</f>
        <v>204</v>
      </c>
      <c r="D13" s="8">
        <f t="shared" si="1"/>
        <v>187</v>
      </c>
      <c r="E13" s="20"/>
      <c r="F13" s="9">
        <v>5465389.0</v>
      </c>
      <c r="G13" s="9">
        <f t="shared" si="2"/>
        <v>754500</v>
      </c>
      <c r="H13" s="9">
        <f t="shared" si="3"/>
        <v>11042513</v>
      </c>
      <c r="I13" s="9">
        <v>1.6507902E7</v>
      </c>
      <c r="J13" s="19">
        <v>1.7262402E7</v>
      </c>
      <c r="K13" s="11">
        <f t="shared" si="5"/>
        <v>2252672652</v>
      </c>
      <c r="L13" s="9">
        <f t="shared" ref="L13:M13" si="7">F13*C13</f>
        <v>1114939356</v>
      </c>
      <c r="M13" s="9">
        <f t="shared" si="7"/>
        <v>141091500</v>
      </c>
      <c r="N13" s="7"/>
      <c r="O13" s="15"/>
      <c r="P13" s="13"/>
      <c r="Q13" s="19"/>
    </row>
    <row r="14">
      <c r="A14" s="7" t="s">
        <v>4</v>
      </c>
      <c r="B14" s="7" t="s">
        <v>36</v>
      </c>
      <c r="C14" s="7">
        <f>ROUND(E10*19.12%,0)</f>
        <v>79</v>
      </c>
      <c r="D14" s="8">
        <f t="shared" si="1"/>
        <v>73</v>
      </c>
      <c r="E14" s="15"/>
      <c r="F14" s="9">
        <v>5465389.0</v>
      </c>
      <c r="G14" s="9">
        <f t="shared" si="2"/>
        <v>9763500</v>
      </c>
      <c r="H14" s="9">
        <f t="shared" si="3"/>
        <v>11042513</v>
      </c>
      <c r="I14" s="9">
        <v>1.6507902E7</v>
      </c>
      <c r="J14" s="19">
        <v>2.6271402E7</v>
      </c>
      <c r="K14" s="11">
        <f t="shared" si="5"/>
        <v>872358527</v>
      </c>
      <c r="L14" s="9">
        <f t="shared" ref="L14:M14" si="8">F14*C14</f>
        <v>431765731</v>
      </c>
      <c r="M14" s="9">
        <f t="shared" si="8"/>
        <v>712735500</v>
      </c>
      <c r="N14" s="7"/>
      <c r="O14" s="15"/>
      <c r="P14" s="13"/>
      <c r="Q14" s="13"/>
    </row>
    <row r="15">
      <c r="A15" s="7" t="s">
        <v>4</v>
      </c>
      <c r="B15" s="7" t="s">
        <v>37</v>
      </c>
      <c r="C15" s="7">
        <f>ROUND(E10*15.94%,0)</f>
        <v>66</v>
      </c>
      <c r="D15" s="8">
        <f t="shared" si="1"/>
        <v>61</v>
      </c>
      <c r="E15" s="15"/>
      <c r="F15" s="9">
        <v>5465389.0</v>
      </c>
      <c r="G15" s="9">
        <f t="shared" si="2"/>
        <v>5000000</v>
      </c>
      <c r="H15" s="9">
        <f t="shared" si="3"/>
        <v>11042513</v>
      </c>
      <c r="I15" s="9">
        <v>1.6507902E7</v>
      </c>
      <c r="J15" s="21">
        <f>5000000+I15</f>
        <v>21507902</v>
      </c>
      <c r="K15" s="11">
        <f t="shared" si="5"/>
        <v>728805858</v>
      </c>
      <c r="L15" s="9">
        <f t="shared" ref="L15:M15" si="9">F15*C15</f>
        <v>360715674</v>
      </c>
      <c r="M15" s="9">
        <f t="shared" si="9"/>
        <v>305000000</v>
      </c>
      <c r="N15" s="7"/>
      <c r="O15" s="15"/>
      <c r="P15" s="13"/>
      <c r="Q15" s="21"/>
    </row>
    <row r="16">
      <c r="A16" s="22" t="s">
        <v>6</v>
      </c>
      <c r="B16" s="22" t="s">
        <v>32</v>
      </c>
      <c r="C16" s="22">
        <v>150.0</v>
      </c>
      <c r="D16" s="23">
        <f t="shared" ref="D16:D21" si="11">ROUND(C16*88%,0)</f>
        <v>132</v>
      </c>
      <c r="E16" s="23">
        <f>SUM(C16:C21)</f>
        <v>2369</v>
      </c>
      <c r="F16" s="24">
        <v>2732694.0</v>
      </c>
      <c r="G16" s="24">
        <f t="shared" si="2"/>
        <v>75000</v>
      </c>
      <c r="H16" s="24">
        <f t="shared" si="3"/>
        <v>10112931</v>
      </c>
      <c r="I16" s="24">
        <v>1.2845625E7</v>
      </c>
      <c r="J16" s="25">
        <f>75000+I16</f>
        <v>12920625</v>
      </c>
      <c r="K16" s="26">
        <f t="shared" si="5"/>
        <v>1516939650</v>
      </c>
      <c r="L16" s="24">
        <f t="shared" ref="L16:M16" si="10">F16*C16</f>
        <v>409904100</v>
      </c>
      <c r="M16" s="24">
        <f t="shared" si="10"/>
        <v>9900000</v>
      </c>
      <c r="N16" s="24">
        <f>SUM(M16:M21)</f>
        <v>8477948500</v>
      </c>
      <c r="O16" s="24">
        <f>SUM(L16:L21)</f>
        <v>6473752086</v>
      </c>
      <c r="P16" s="27">
        <f>SUM(K16:K21)</f>
        <v>23957533539</v>
      </c>
      <c r="Q16" s="28">
        <f>SUM(N16+O16+P16)</f>
        <v>38909234125</v>
      </c>
    </row>
    <row r="17">
      <c r="A17" s="22" t="s">
        <v>6</v>
      </c>
      <c r="B17" s="22" t="s">
        <v>33</v>
      </c>
      <c r="C17" s="22">
        <v>156.0</v>
      </c>
      <c r="D17" s="23">
        <f t="shared" si="11"/>
        <v>137</v>
      </c>
      <c r="E17" s="23"/>
      <c r="F17" s="24">
        <v>2732694.0</v>
      </c>
      <c r="G17" s="24">
        <f t="shared" si="2"/>
        <v>18225000</v>
      </c>
      <c r="H17" s="24">
        <f t="shared" si="3"/>
        <v>10112931</v>
      </c>
      <c r="I17" s="24">
        <v>1.2845625E7</v>
      </c>
      <c r="J17" s="27">
        <v>3.1070625E7</v>
      </c>
      <c r="K17" s="26">
        <f t="shared" si="5"/>
        <v>1577617236</v>
      </c>
      <c r="L17" s="24">
        <f t="shared" ref="L17:M17" si="12">F17*C17</f>
        <v>426300264</v>
      </c>
      <c r="M17" s="24">
        <f t="shared" si="12"/>
        <v>2496825000</v>
      </c>
      <c r="N17" s="22"/>
      <c r="O17" s="23"/>
      <c r="P17" s="27"/>
      <c r="Q17" s="27"/>
    </row>
    <row r="18">
      <c r="A18" s="22" t="s">
        <v>6</v>
      </c>
      <c r="B18" s="22" t="s">
        <v>34</v>
      </c>
      <c r="C18" s="22">
        <v>19.0</v>
      </c>
      <c r="D18" s="23">
        <f t="shared" si="11"/>
        <v>17</v>
      </c>
      <c r="E18" s="23"/>
      <c r="F18" s="24">
        <v>2732694.0</v>
      </c>
      <c r="G18" s="24">
        <f t="shared" si="2"/>
        <v>25680000</v>
      </c>
      <c r="H18" s="24">
        <f t="shared" si="3"/>
        <v>10112931</v>
      </c>
      <c r="I18" s="24">
        <v>1.2845625E7</v>
      </c>
      <c r="J18" s="27">
        <v>3.8525625E7</v>
      </c>
      <c r="K18" s="26">
        <f t="shared" si="5"/>
        <v>192145689</v>
      </c>
      <c r="L18" s="24">
        <f t="shared" ref="L18:M18" si="13">F18*C18</f>
        <v>51921186</v>
      </c>
      <c r="M18" s="24">
        <f t="shared" si="13"/>
        <v>436560000</v>
      </c>
      <c r="N18" s="22"/>
      <c r="O18" s="23"/>
      <c r="P18" s="27"/>
      <c r="Q18" s="27"/>
    </row>
    <row r="19">
      <c r="A19" s="22" t="s">
        <v>6</v>
      </c>
      <c r="B19" s="22" t="s">
        <v>35</v>
      </c>
      <c r="C19" s="22">
        <v>1355.0</v>
      </c>
      <c r="D19" s="23">
        <f t="shared" si="11"/>
        <v>1192</v>
      </c>
      <c r="E19" s="23"/>
      <c r="F19" s="24">
        <v>2732694.0</v>
      </c>
      <c r="G19" s="24">
        <f t="shared" si="2"/>
        <v>754500</v>
      </c>
      <c r="H19" s="24">
        <f t="shared" si="3"/>
        <v>10112931</v>
      </c>
      <c r="I19" s="24">
        <v>1.2845625E7</v>
      </c>
      <c r="J19" s="27">
        <v>1.3600125E7</v>
      </c>
      <c r="K19" s="26">
        <f t="shared" si="5"/>
        <v>13703021505</v>
      </c>
      <c r="L19" s="24">
        <f t="shared" ref="L19:M19" si="14">F19*C19</f>
        <v>3702800370</v>
      </c>
      <c r="M19" s="24">
        <f t="shared" si="14"/>
        <v>899364000</v>
      </c>
      <c r="N19" s="22"/>
      <c r="O19" s="23"/>
      <c r="P19" s="27"/>
      <c r="Q19" s="27"/>
    </row>
    <row r="20">
      <c r="A20" s="22" t="s">
        <v>6</v>
      </c>
      <c r="B20" s="22" t="s">
        <v>36</v>
      </c>
      <c r="C20" s="22">
        <v>383.0</v>
      </c>
      <c r="D20" s="23">
        <f t="shared" si="11"/>
        <v>337</v>
      </c>
      <c r="E20" s="23"/>
      <c r="F20" s="24">
        <v>2732694.0</v>
      </c>
      <c r="G20" s="24">
        <f t="shared" si="2"/>
        <v>9763500</v>
      </c>
      <c r="H20" s="24">
        <f t="shared" si="3"/>
        <v>10112931</v>
      </c>
      <c r="I20" s="24">
        <v>1.2845625E7</v>
      </c>
      <c r="J20" s="27">
        <v>2.2609125E7</v>
      </c>
      <c r="K20" s="26">
        <f t="shared" si="5"/>
        <v>3873252573</v>
      </c>
      <c r="L20" s="24">
        <f t="shared" ref="L20:M20" si="15">F20*C20</f>
        <v>1046621802</v>
      </c>
      <c r="M20" s="24">
        <f t="shared" si="15"/>
        <v>3290299500</v>
      </c>
      <c r="N20" s="22"/>
      <c r="O20" s="23"/>
      <c r="P20" s="27"/>
      <c r="Q20" s="27"/>
    </row>
    <row r="21">
      <c r="A21" s="22" t="s">
        <v>6</v>
      </c>
      <c r="B21" s="22" t="s">
        <v>37</v>
      </c>
      <c r="C21" s="22">
        <v>306.0</v>
      </c>
      <c r="D21" s="23">
        <f t="shared" si="11"/>
        <v>269</v>
      </c>
      <c r="E21" s="23"/>
      <c r="F21" s="24">
        <v>2732694.0</v>
      </c>
      <c r="G21" s="24">
        <f t="shared" si="2"/>
        <v>5000000</v>
      </c>
      <c r="H21" s="24">
        <f t="shared" si="3"/>
        <v>10112931</v>
      </c>
      <c r="I21" s="24">
        <v>1.2845625E7</v>
      </c>
      <c r="J21" s="29">
        <f>5000000+I21</f>
        <v>17845625</v>
      </c>
      <c r="K21" s="26">
        <f t="shared" si="5"/>
        <v>3094556886</v>
      </c>
      <c r="L21" s="24">
        <f t="shared" ref="L21:M21" si="16">F21*C21</f>
        <v>836204364</v>
      </c>
      <c r="M21" s="24">
        <f t="shared" si="16"/>
        <v>1345000000</v>
      </c>
      <c r="N21" s="22"/>
      <c r="O21" s="23"/>
      <c r="P21" s="27"/>
      <c r="Q21" s="29"/>
    </row>
    <row r="22">
      <c r="A22" s="30" t="s">
        <v>8</v>
      </c>
      <c r="B22" s="30" t="s">
        <v>32</v>
      </c>
      <c r="C22" s="30">
        <v>1371.0</v>
      </c>
      <c r="D22" s="31">
        <f t="shared" ref="D22:D27" si="18">ROUND(C22*83%,0)</f>
        <v>1138</v>
      </c>
      <c r="E22" s="31">
        <f>SUM(C22:C27)</f>
        <v>19293</v>
      </c>
      <c r="F22" s="32">
        <v>2732694.0</v>
      </c>
      <c r="G22" s="32">
        <f t="shared" si="2"/>
        <v>75000</v>
      </c>
      <c r="H22" s="32">
        <f t="shared" si="3"/>
        <v>3221521</v>
      </c>
      <c r="I22" s="32">
        <v>5954215.0</v>
      </c>
      <c r="J22" s="33">
        <f>75000+I22</f>
        <v>6029215</v>
      </c>
      <c r="K22" s="34">
        <f t="shared" si="5"/>
        <v>4416705291</v>
      </c>
      <c r="L22" s="32">
        <f t="shared" ref="L22:M22" si="17">F22*C22</f>
        <v>3746523474</v>
      </c>
      <c r="M22" s="32">
        <f t="shared" si="17"/>
        <v>85350000</v>
      </c>
      <c r="N22" s="32">
        <f>SUM(M22:M27)</f>
        <v>27611857500</v>
      </c>
      <c r="O22" s="32">
        <f>SUM(L22:L27)</f>
        <v>52721865342</v>
      </c>
      <c r="P22" s="35">
        <f>SUM(K22:K27)</f>
        <v>62152804653</v>
      </c>
      <c r="Q22" s="36">
        <f>SUM(N22+O22+P22)</f>
        <v>142486527495</v>
      </c>
    </row>
    <row r="23">
      <c r="A23" s="30" t="s">
        <v>8</v>
      </c>
      <c r="B23" s="30" t="s">
        <v>33</v>
      </c>
      <c r="C23" s="30">
        <v>1602.0</v>
      </c>
      <c r="D23" s="31">
        <f t="shared" si="18"/>
        <v>1330</v>
      </c>
      <c r="E23" s="31"/>
      <c r="F23" s="32">
        <v>2732694.0</v>
      </c>
      <c r="G23" s="32">
        <f t="shared" si="2"/>
        <v>6075000</v>
      </c>
      <c r="H23" s="32">
        <f t="shared" si="3"/>
        <v>3221521</v>
      </c>
      <c r="I23" s="32">
        <v>5954215.0</v>
      </c>
      <c r="J23" s="35">
        <v>1.2029215E7</v>
      </c>
      <c r="K23" s="34">
        <f t="shared" si="5"/>
        <v>5160876642</v>
      </c>
      <c r="L23" s="32">
        <f t="shared" ref="L23:M23" si="19">F23*C23</f>
        <v>4377775788</v>
      </c>
      <c r="M23" s="32">
        <f t="shared" si="19"/>
        <v>8079750000</v>
      </c>
      <c r="N23" s="30"/>
      <c r="O23" s="31"/>
      <c r="P23" s="35"/>
      <c r="Q23" s="35"/>
    </row>
    <row r="24">
      <c r="A24" s="30" t="s">
        <v>8</v>
      </c>
      <c r="B24" s="30" t="s">
        <v>34</v>
      </c>
      <c r="C24" s="30">
        <v>77.0</v>
      </c>
      <c r="D24" s="31">
        <f t="shared" si="18"/>
        <v>64</v>
      </c>
      <c r="E24" s="31"/>
      <c r="F24" s="32">
        <v>2732694.0</v>
      </c>
      <c r="G24" s="32">
        <f t="shared" si="2"/>
        <v>8560000</v>
      </c>
      <c r="H24" s="32">
        <f t="shared" si="3"/>
        <v>3221521</v>
      </c>
      <c r="I24" s="32">
        <v>5954215.0</v>
      </c>
      <c r="J24" s="35">
        <v>1.4514215E7</v>
      </c>
      <c r="K24" s="34">
        <f t="shared" si="5"/>
        <v>248057117</v>
      </c>
      <c r="L24" s="32">
        <f t="shared" ref="L24:M24" si="20">F24*C24</f>
        <v>210417438</v>
      </c>
      <c r="M24" s="32">
        <f t="shared" si="20"/>
        <v>547840000</v>
      </c>
      <c r="N24" s="30"/>
      <c r="O24" s="31"/>
      <c r="P24" s="35"/>
      <c r="Q24" s="35"/>
    </row>
    <row r="25">
      <c r="A25" s="30" t="s">
        <v>8</v>
      </c>
      <c r="B25" s="30" t="s">
        <v>35</v>
      </c>
      <c r="C25" s="30">
        <v>10097.0</v>
      </c>
      <c r="D25" s="31">
        <f t="shared" si="18"/>
        <v>8381</v>
      </c>
      <c r="E25" s="31"/>
      <c r="F25" s="32">
        <v>2732694.0</v>
      </c>
      <c r="G25" s="32">
        <f t="shared" si="2"/>
        <v>404500</v>
      </c>
      <c r="H25" s="32">
        <f t="shared" si="3"/>
        <v>3221521</v>
      </c>
      <c r="I25" s="32">
        <v>5954215.0</v>
      </c>
      <c r="J25" s="35">
        <v>6358715.0</v>
      </c>
      <c r="K25" s="34">
        <f t="shared" si="5"/>
        <v>32527697537</v>
      </c>
      <c r="L25" s="32">
        <f t="shared" ref="L25:M25" si="21">F25*C25</f>
        <v>27592011318</v>
      </c>
      <c r="M25" s="32">
        <f t="shared" si="21"/>
        <v>3390114500</v>
      </c>
      <c r="N25" s="30"/>
      <c r="O25" s="31"/>
      <c r="P25" s="35"/>
      <c r="Q25" s="35"/>
    </row>
    <row r="26">
      <c r="A26" s="30" t="s">
        <v>8</v>
      </c>
      <c r="B26" s="30" t="s">
        <v>36</v>
      </c>
      <c r="C26" s="30">
        <v>4407.0</v>
      </c>
      <c r="D26" s="31">
        <f t="shared" si="18"/>
        <v>3658</v>
      </c>
      <c r="E26" s="31"/>
      <c r="F26" s="32">
        <v>2732694.0</v>
      </c>
      <c r="G26" s="32">
        <f t="shared" si="2"/>
        <v>3253500</v>
      </c>
      <c r="H26" s="32">
        <f t="shared" si="3"/>
        <v>3221521</v>
      </c>
      <c r="I26" s="32">
        <v>5954215.0</v>
      </c>
      <c r="J26" s="35">
        <v>9207715.0</v>
      </c>
      <c r="K26" s="34">
        <f t="shared" si="5"/>
        <v>14197243047</v>
      </c>
      <c r="L26" s="32">
        <f t="shared" ref="L26:M26" si="22">F26*C26</f>
        <v>12042982458</v>
      </c>
      <c r="M26" s="32">
        <f t="shared" si="22"/>
        <v>11901303000</v>
      </c>
      <c r="N26" s="30"/>
      <c r="O26" s="31"/>
      <c r="P26" s="35"/>
      <c r="Q26" s="35"/>
    </row>
    <row r="27">
      <c r="A27" s="30" t="s">
        <v>8</v>
      </c>
      <c r="B27" s="30" t="s">
        <v>37</v>
      </c>
      <c r="C27" s="30">
        <v>1739.0</v>
      </c>
      <c r="D27" s="31">
        <f t="shared" si="18"/>
        <v>1443</v>
      </c>
      <c r="E27" s="31"/>
      <c r="F27" s="32">
        <v>2732694.0</v>
      </c>
      <c r="G27" s="32">
        <f t="shared" si="2"/>
        <v>2500000</v>
      </c>
      <c r="H27" s="32">
        <f t="shared" si="3"/>
        <v>3221521</v>
      </c>
      <c r="I27" s="32">
        <v>5954215.0</v>
      </c>
      <c r="J27" s="37">
        <f>2500000+I27</f>
        <v>8454215</v>
      </c>
      <c r="K27" s="34">
        <f t="shared" si="5"/>
        <v>5602225019</v>
      </c>
      <c r="L27" s="32">
        <f t="shared" ref="L27:M27" si="23">F27*C27</f>
        <v>4752154866</v>
      </c>
      <c r="M27" s="32">
        <f t="shared" si="23"/>
        <v>3607500000</v>
      </c>
      <c r="N27" s="30"/>
      <c r="O27" s="31"/>
      <c r="P27" s="35"/>
      <c r="Q27" s="38"/>
    </row>
    <row r="28">
      <c r="A28" s="39" t="s">
        <v>10</v>
      </c>
      <c r="B28" s="39" t="s">
        <v>32</v>
      </c>
      <c r="C28" s="39">
        <v>80.0</v>
      </c>
      <c r="D28" s="40"/>
      <c r="E28" s="40">
        <f>SUM(C28:C33)</f>
        <v>14190</v>
      </c>
      <c r="F28" s="41">
        <v>0.0</v>
      </c>
      <c r="G28" s="41">
        <f t="shared" si="2"/>
        <v>75000</v>
      </c>
      <c r="H28" s="41">
        <f t="shared" si="3"/>
        <v>76763</v>
      </c>
      <c r="I28" s="41">
        <v>76763.0</v>
      </c>
      <c r="J28" s="42">
        <f>75000+I28</f>
        <v>151763</v>
      </c>
      <c r="K28" s="43">
        <f t="shared" si="5"/>
        <v>6141040</v>
      </c>
      <c r="L28" s="41">
        <f t="shared" ref="L28:L39" si="24">F28*C28</f>
        <v>0</v>
      </c>
      <c r="M28" s="41">
        <f t="shared" ref="M28:M39" si="25">G28*C28</f>
        <v>6000000</v>
      </c>
      <c r="N28" s="43">
        <f>SUM(M28:M33)</f>
        <v>14126712000</v>
      </c>
      <c r="O28" s="39">
        <v>0.0</v>
      </c>
      <c r="P28" s="41">
        <f>SUM(K28:K33)</f>
        <v>1089266970</v>
      </c>
      <c r="Q28" s="42">
        <f>SUM(N28+O28+P28)</f>
        <v>15215978970</v>
      </c>
    </row>
    <row r="29">
      <c r="A29" s="39" t="s">
        <v>10</v>
      </c>
      <c r="B29" s="39" t="s">
        <v>33</v>
      </c>
      <c r="C29" s="39">
        <v>3333.0</v>
      </c>
      <c r="D29" s="40"/>
      <c r="E29" s="40"/>
      <c r="F29" s="41">
        <v>0.0</v>
      </c>
      <c r="G29" s="41">
        <f t="shared" si="2"/>
        <v>1207000</v>
      </c>
      <c r="H29" s="41">
        <f t="shared" si="3"/>
        <v>76763</v>
      </c>
      <c r="I29" s="41">
        <v>76763.0</v>
      </c>
      <c r="J29" s="44">
        <v>1283763.0</v>
      </c>
      <c r="K29" s="43">
        <f t="shared" si="5"/>
        <v>255851079</v>
      </c>
      <c r="L29" s="41">
        <f t="shared" si="24"/>
        <v>0</v>
      </c>
      <c r="M29" s="41">
        <f t="shared" si="25"/>
        <v>4022931000</v>
      </c>
      <c r="N29" s="39"/>
      <c r="O29" s="40"/>
      <c r="P29" s="41"/>
      <c r="Q29" s="45"/>
      <c r="R29" s="4"/>
    </row>
    <row r="30">
      <c r="A30" s="39" t="s">
        <v>10</v>
      </c>
      <c r="B30" s="39" t="s">
        <v>34</v>
      </c>
      <c r="C30" s="39">
        <v>353.0</v>
      </c>
      <c r="D30" s="40"/>
      <c r="E30" s="40"/>
      <c r="F30" s="41">
        <v>0.0</v>
      </c>
      <c r="G30" s="41">
        <f t="shared" si="2"/>
        <v>1340000</v>
      </c>
      <c r="H30" s="41">
        <f t="shared" si="3"/>
        <v>76763</v>
      </c>
      <c r="I30" s="41">
        <v>76763.0</v>
      </c>
      <c r="J30" s="44">
        <v>1416763.0</v>
      </c>
      <c r="K30" s="43">
        <f t="shared" si="5"/>
        <v>27097339</v>
      </c>
      <c r="L30" s="41">
        <f t="shared" si="24"/>
        <v>0</v>
      </c>
      <c r="M30" s="41">
        <f t="shared" si="25"/>
        <v>473020000</v>
      </c>
      <c r="N30" s="39"/>
      <c r="O30" s="40"/>
      <c r="P30" s="41"/>
      <c r="Q30" s="44"/>
    </row>
    <row r="31">
      <c r="A31" s="39" t="s">
        <v>10</v>
      </c>
      <c r="B31" s="39" t="s">
        <v>35</v>
      </c>
      <c r="C31" s="39">
        <v>1210.0</v>
      </c>
      <c r="D31" s="40"/>
      <c r="E31" s="40"/>
      <c r="F31" s="41">
        <v>0.0</v>
      </c>
      <c r="G31" s="41">
        <f t="shared" si="2"/>
        <v>296500</v>
      </c>
      <c r="H31" s="41">
        <f t="shared" si="3"/>
        <v>76763</v>
      </c>
      <c r="I31" s="41">
        <v>76763.0</v>
      </c>
      <c r="J31" s="44">
        <v>373263.0</v>
      </c>
      <c r="K31" s="43">
        <f t="shared" si="5"/>
        <v>92883230</v>
      </c>
      <c r="L31" s="41">
        <f t="shared" si="24"/>
        <v>0</v>
      </c>
      <c r="M31" s="41">
        <f t="shared" si="25"/>
        <v>358765000</v>
      </c>
      <c r="N31" s="39"/>
      <c r="O31" s="40"/>
      <c r="P31" s="41"/>
      <c r="Q31" s="44"/>
    </row>
    <row r="32">
      <c r="A32" s="39" t="s">
        <v>10</v>
      </c>
      <c r="B32" s="39" t="s">
        <v>36</v>
      </c>
      <c r="C32" s="39">
        <v>8666.0</v>
      </c>
      <c r="D32" s="40"/>
      <c r="E32" s="40"/>
      <c r="F32" s="41">
        <v>0.0</v>
      </c>
      <c r="G32" s="41">
        <f t="shared" si="2"/>
        <v>1006000</v>
      </c>
      <c r="H32" s="41">
        <f t="shared" si="3"/>
        <v>76763</v>
      </c>
      <c r="I32" s="41">
        <v>76763.0</v>
      </c>
      <c r="J32" s="44">
        <v>1082763.0</v>
      </c>
      <c r="K32" s="43">
        <f t="shared" si="5"/>
        <v>665228158</v>
      </c>
      <c r="L32" s="41">
        <f t="shared" si="24"/>
        <v>0</v>
      </c>
      <c r="M32" s="41">
        <f t="shared" si="25"/>
        <v>8717996000</v>
      </c>
      <c r="N32" s="39"/>
      <c r="O32" s="40"/>
      <c r="P32" s="41"/>
      <c r="Q32" s="44"/>
    </row>
    <row r="33">
      <c r="A33" s="39" t="s">
        <v>10</v>
      </c>
      <c r="B33" s="39" t="s">
        <v>37</v>
      </c>
      <c r="C33" s="39">
        <v>548.0</v>
      </c>
      <c r="D33" s="40"/>
      <c r="E33" s="40"/>
      <c r="F33" s="41">
        <v>0.0</v>
      </c>
      <c r="G33" s="41">
        <f t="shared" si="2"/>
        <v>1000000</v>
      </c>
      <c r="H33" s="41">
        <f t="shared" si="3"/>
        <v>76763</v>
      </c>
      <c r="I33" s="41">
        <v>76763.0</v>
      </c>
      <c r="J33" s="46">
        <f>1000000+I33</f>
        <v>1076763</v>
      </c>
      <c r="K33" s="43">
        <f t="shared" si="5"/>
        <v>42066124</v>
      </c>
      <c r="L33" s="41">
        <f t="shared" si="24"/>
        <v>0</v>
      </c>
      <c r="M33" s="41">
        <f t="shared" si="25"/>
        <v>548000000</v>
      </c>
      <c r="N33" s="39"/>
      <c r="O33" s="40"/>
      <c r="P33" s="41"/>
      <c r="Q33" s="46"/>
    </row>
    <row r="34">
      <c r="A34" s="47" t="s">
        <v>12</v>
      </c>
      <c r="B34" s="47" t="s">
        <v>32</v>
      </c>
      <c r="C34" s="47">
        <v>43.0</v>
      </c>
      <c r="D34" s="47"/>
      <c r="E34" s="47">
        <f>SUM(C34:C39)</f>
        <v>513</v>
      </c>
      <c r="F34" s="48">
        <v>5465389.0</v>
      </c>
      <c r="G34" s="48">
        <f t="shared" si="2"/>
        <v>300000</v>
      </c>
      <c r="H34" s="48">
        <f t="shared" si="3"/>
        <v>877082</v>
      </c>
      <c r="I34" s="48">
        <v>6342471.0</v>
      </c>
      <c r="J34" s="49">
        <f>300000+I34</f>
        <v>6642471</v>
      </c>
      <c r="K34" s="50">
        <f t="shared" si="5"/>
        <v>37714526</v>
      </c>
      <c r="L34" s="48">
        <f t="shared" si="24"/>
        <v>235011727</v>
      </c>
      <c r="M34" s="48">
        <f t="shared" si="25"/>
        <v>12900000</v>
      </c>
      <c r="N34" s="48">
        <f>SUM(M34:M39)</f>
        <v>2351124568</v>
      </c>
      <c r="O34" s="48">
        <f>SUM(L34:L39)</f>
        <v>2803744557</v>
      </c>
      <c r="P34" s="51">
        <f>SUM(K34:K39)</f>
        <v>449943066</v>
      </c>
      <c r="Q34" s="49">
        <f>SUM(N34+O34+P34)</f>
        <v>5604812191</v>
      </c>
    </row>
    <row r="35">
      <c r="A35" s="47" t="s">
        <v>12</v>
      </c>
      <c r="B35" s="47" t="s">
        <v>33</v>
      </c>
      <c r="C35" s="47">
        <v>32.0</v>
      </c>
      <c r="D35" s="52"/>
      <c r="E35" s="52"/>
      <c r="F35" s="48">
        <v>5465389.0</v>
      </c>
      <c r="G35" s="48">
        <f t="shared" si="2"/>
        <v>18402611</v>
      </c>
      <c r="H35" s="48">
        <f t="shared" si="3"/>
        <v>877082</v>
      </c>
      <c r="I35" s="48">
        <v>6342471.0</v>
      </c>
      <c r="J35" s="53">
        <v>2.4745082E7</v>
      </c>
      <c r="K35" s="50">
        <f t="shared" si="5"/>
        <v>28066624</v>
      </c>
      <c r="L35" s="48">
        <f t="shared" si="24"/>
        <v>174892448</v>
      </c>
      <c r="M35" s="48">
        <f t="shared" si="25"/>
        <v>588883552</v>
      </c>
      <c r="N35" s="47"/>
      <c r="O35" s="52"/>
      <c r="P35" s="51"/>
      <c r="Q35" s="51"/>
    </row>
    <row r="36">
      <c r="A36" s="47" t="s">
        <v>12</v>
      </c>
      <c r="B36" s="47" t="s">
        <v>34</v>
      </c>
      <c r="C36" s="47">
        <v>5.0</v>
      </c>
      <c r="D36" s="52"/>
      <c r="E36" s="52"/>
      <c r="F36" s="48">
        <v>5465389.0</v>
      </c>
      <c r="G36" s="48">
        <f t="shared" si="2"/>
        <v>25857611</v>
      </c>
      <c r="H36" s="48">
        <f t="shared" si="3"/>
        <v>877082</v>
      </c>
      <c r="I36" s="48">
        <v>6342471.0</v>
      </c>
      <c r="J36" s="53">
        <v>3.2200082E7</v>
      </c>
      <c r="K36" s="50">
        <f t="shared" si="5"/>
        <v>4385410</v>
      </c>
      <c r="L36" s="48">
        <f t="shared" si="24"/>
        <v>27326945</v>
      </c>
      <c r="M36" s="48">
        <f t="shared" si="25"/>
        <v>129288055</v>
      </c>
      <c r="N36" s="47"/>
      <c r="O36" s="52"/>
      <c r="P36" s="51"/>
      <c r="Q36" s="51"/>
    </row>
    <row r="37">
      <c r="A37" s="47" t="s">
        <v>12</v>
      </c>
      <c r="B37" s="47" t="s">
        <v>35</v>
      </c>
      <c r="C37" s="47">
        <v>253.0</v>
      </c>
      <c r="D37" s="52"/>
      <c r="E37" s="52"/>
      <c r="F37" s="48">
        <v>5465389.0</v>
      </c>
      <c r="G37" s="48">
        <f t="shared" si="2"/>
        <v>932111</v>
      </c>
      <c r="H37" s="48">
        <f t="shared" si="3"/>
        <v>877082</v>
      </c>
      <c r="I37" s="48">
        <v>6342471.0</v>
      </c>
      <c r="J37" s="53">
        <v>7274582.0</v>
      </c>
      <c r="K37" s="50">
        <f t="shared" si="5"/>
        <v>221901746</v>
      </c>
      <c r="L37" s="48">
        <f t="shared" si="24"/>
        <v>1382743417</v>
      </c>
      <c r="M37" s="48">
        <f t="shared" si="25"/>
        <v>235824083</v>
      </c>
      <c r="N37" s="47"/>
      <c r="O37" s="52"/>
      <c r="P37" s="51"/>
      <c r="Q37" s="51"/>
    </row>
    <row r="38">
      <c r="A38" s="47" t="s">
        <v>12</v>
      </c>
      <c r="B38" s="47" t="s">
        <v>36</v>
      </c>
      <c r="C38" s="47">
        <v>98.0</v>
      </c>
      <c r="D38" s="52"/>
      <c r="E38" s="52"/>
      <c r="F38" s="48">
        <v>5465389.0</v>
      </c>
      <c r="G38" s="48">
        <f t="shared" si="2"/>
        <v>9941111</v>
      </c>
      <c r="H38" s="48">
        <f t="shared" si="3"/>
        <v>877082</v>
      </c>
      <c r="I38" s="48">
        <v>6342471.0</v>
      </c>
      <c r="J38" s="53">
        <v>1.6283582E7</v>
      </c>
      <c r="K38" s="50">
        <f t="shared" si="5"/>
        <v>85954036</v>
      </c>
      <c r="L38" s="48">
        <f t="shared" si="24"/>
        <v>535608122</v>
      </c>
      <c r="M38" s="48">
        <f t="shared" si="25"/>
        <v>974228878</v>
      </c>
      <c r="N38" s="47"/>
      <c r="O38" s="52"/>
      <c r="P38" s="51"/>
      <c r="Q38" s="51"/>
    </row>
    <row r="39">
      <c r="A39" s="47" t="s">
        <v>12</v>
      </c>
      <c r="B39" s="47" t="s">
        <v>37</v>
      </c>
      <c r="C39" s="47">
        <v>82.0</v>
      </c>
      <c r="D39" s="52"/>
      <c r="E39" s="52"/>
      <c r="F39" s="48">
        <v>5465389.0</v>
      </c>
      <c r="G39" s="48">
        <f t="shared" si="2"/>
        <v>5000000</v>
      </c>
      <c r="H39" s="48">
        <f t="shared" si="3"/>
        <v>877082</v>
      </c>
      <c r="I39" s="48">
        <v>6342471.0</v>
      </c>
      <c r="J39" s="54">
        <f>5000000+I39</f>
        <v>11342471</v>
      </c>
      <c r="K39" s="50">
        <f t="shared" si="5"/>
        <v>71920724</v>
      </c>
      <c r="L39" s="48">
        <f t="shared" si="24"/>
        <v>448161898</v>
      </c>
      <c r="M39" s="48">
        <f t="shared" si="25"/>
        <v>410000000</v>
      </c>
      <c r="N39" s="47"/>
      <c r="O39" s="52"/>
      <c r="P39" s="51"/>
      <c r="Q39" s="54"/>
    </row>
    <row r="40">
      <c r="J40" s="55"/>
    </row>
    <row r="45">
      <c r="A45" s="6" t="s">
        <v>15</v>
      </c>
      <c r="B45" s="6" t="s">
        <v>16</v>
      </c>
      <c r="C45" s="6" t="s">
        <v>38</v>
      </c>
      <c r="D45" s="6" t="s">
        <v>18</v>
      </c>
      <c r="E45" s="6" t="s">
        <v>19</v>
      </c>
      <c r="F45" s="6" t="s">
        <v>20</v>
      </c>
      <c r="G45" s="6" t="s">
        <v>21</v>
      </c>
      <c r="H45" s="6" t="s">
        <v>22</v>
      </c>
      <c r="I45" s="6" t="s">
        <v>23</v>
      </c>
      <c r="J45" s="6" t="s">
        <v>24</v>
      </c>
      <c r="K45" s="6" t="s">
        <v>25</v>
      </c>
      <c r="L45" s="6" t="s">
        <v>26</v>
      </c>
      <c r="M45" s="6" t="s">
        <v>27</v>
      </c>
      <c r="N45" s="6" t="s">
        <v>28</v>
      </c>
      <c r="O45" s="6" t="s">
        <v>29</v>
      </c>
      <c r="P45" s="6" t="s">
        <v>30</v>
      </c>
      <c r="Q45" s="6" t="s">
        <v>31</v>
      </c>
    </row>
    <row r="46">
      <c r="A46" s="7" t="s">
        <v>4</v>
      </c>
      <c r="B46" s="7" t="s">
        <v>32</v>
      </c>
      <c r="C46" s="7">
        <f>ROUND(E46*8.38%,0)</f>
        <v>37</v>
      </c>
      <c r="D46" s="8">
        <f t="shared" ref="D46:D51" si="26">ROUND(C46*91.91%,0)</f>
        <v>34</v>
      </c>
      <c r="E46" s="8">
        <v>447.0</v>
      </c>
      <c r="F46" s="13">
        <v>5576829.0</v>
      </c>
      <c r="G46" s="9">
        <f t="shared" ref="G46:G75" si="27">J46-I46</f>
        <v>300000</v>
      </c>
      <c r="H46" s="13">
        <f t="shared" ref="H46:H75" si="28">I46-F46</f>
        <v>11042513</v>
      </c>
      <c r="I46" s="13">
        <v>1.6619342E7</v>
      </c>
      <c r="J46" s="10">
        <f>300000+I46</f>
        <v>16919342</v>
      </c>
      <c r="K46" s="9">
        <f>11042513*E46</f>
        <v>4936003311</v>
      </c>
      <c r="L46" s="9">
        <f>I46*E46</f>
        <v>7428845874</v>
      </c>
      <c r="M46" s="9">
        <f>G46*D46</f>
        <v>10200000</v>
      </c>
      <c r="N46" s="11">
        <f>SUM(M46:M51)</f>
        <v>1827241000</v>
      </c>
      <c r="O46" s="12">
        <f>SUM(L46:L51)</f>
        <v>9715345764</v>
      </c>
      <c r="P46" s="13">
        <f>SUM(K46:K51)</f>
        <v>9463433641</v>
      </c>
      <c r="Q46" s="14">
        <f>SUM(N46+O46+P46)</f>
        <v>21006020405</v>
      </c>
    </row>
    <row r="47">
      <c r="A47" s="7" t="s">
        <v>4</v>
      </c>
      <c r="B47" s="7" t="s">
        <v>33</v>
      </c>
      <c r="C47" s="7">
        <f>ROUND(E46*6.23%,0)</f>
        <v>28</v>
      </c>
      <c r="D47" s="8">
        <f t="shared" si="26"/>
        <v>26</v>
      </c>
      <c r="F47" s="13">
        <v>5576829.0</v>
      </c>
      <c r="G47" s="9">
        <f t="shared" si="27"/>
        <v>18225000</v>
      </c>
      <c r="H47" s="13">
        <f t="shared" si="28"/>
        <v>11042513</v>
      </c>
      <c r="I47" s="13">
        <v>1.6619342E7</v>
      </c>
      <c r="J47" s="16">
        <v>3.4844342E7</v>
      </c>
      <c r="K47" s="11">
        <f t="shared" ref="K47:K75" si="30">H47*C47</f>
        <v>309190364</v>
      </c>
      <c r="L47" s="9">
        <f t="shared" ref="L47:M47" si="29">F47*C47</f>
        <v>156151212</v>
      </c>
      <c r="M47" s="9">
        <f t="shared" si="29"/>
        <v>473850000</v>
      </c>
      <c r="N47" s="7"/>
      <c r="O47" s="15"/>
      <c r="P47" s="13"/>
      <c r="Q47" s="16"/>
    </row>
    <row r="48">
      <c r="A48" s="7" t="s">
        <v>4</v>
      </c>
      <c r="B48" s="7" t="s">
        <v>34</v>
      </c>
      <c r="C48" s="7">
        <f>ROUND(E46*0.98%,0)</f>
        <v>4</v>
      </c>
      <c r="D48" s="8">
        <f t="shared" si="26"/>
        <v>4</v>
      </c>
      <c r="F48" s="13">
        <v>5576829.0</v>
      </c>
      <c r="G48" s="9">
        <f t="shared" si="27"/>
        <v>25680000</v>
      </c>
      <c r="H48" s="13">
        <f t="shared" si="28"/>
        <v>11042513</v>
      </c>
      <c r="I48" s="13">
        <v>1.6619342E7</v>
      </c>
      <c r="J48" s="19">
        <v>4.2299342E7</v>
      </c>
      <c r="K48" s="11">
        <f t="shared" si="30"/>
        <v>44170052</v>
      </c>
      <c r="L48" s="9">
        <f t="shared" ref="L48:M48" si="31">F48*C48</f>
        <v>22307316</v>
      </c>
      <c r="M48" s="9">
        <f t="shared" si="31"/>
        <v>102720000</v>
      </c>
      <c r="N48" s="7"/>
      <c r="O48" s="15"/>
      <c r="P48" s="13"/>
      <c r="Q48" s="19"/>
    </row>
    <row r="49">
      <c r="A49" s="7" t="s">
        <v>4</v>
      </c>
      <c r="B49" s="7" t="s">
        <v>35</v>
      </c>
      <c r="C49" s="7">
        <f>ROUND(E46*49.58%,0)</f>
        <v>222</v>
      </c>
      <c r="D49" s="8">
        <f t="shared" si="26"/>
        <v>204</v>
      </c>
      <c r="F49" s="13">
        <v>5576829.0</v>
      </c>
      <c r="G49" s="9">
        <f t="shared" si="27"/>
        <v>754500</v>
      </c>
      <c r="H49" s="13">
        <f t="shared" si="28"/>
        <v>11042513</v>
      </c>
      <c r="I49" s="13">
        <v>1.6619342E7</v>
      </c>
      <c r="J49" s="19">
        <v>1.7373842E7</v>
      </c>
      <c r="K49" s="11">
        <f t="shared" si="30"/>
        <v>2451437886</v>
      </c>
      <c r="L49" s="9">
        <f t="shared" ref="L49:M49" si="32">F49*C49</f>
        <v>1238056038</v>
      </c>
      <c r="M49" s="9">
        <f t="shared" si="32"/>
        <v>153918000</v>
      </c>
      <c r="N49" s="7"/>
      <c r="O49" s="15"/>
      <c r="P49" s="13"/>
      <c r="Q49" s="19"/>
    </row>
    <row r="50">
      <c r="A50" s="7" t="s">
        <v>4</v>
      </c>
      <c r="B50" s="7" t="s">
        <v>36</v>
      </c>
      <c r="C50" s="7">
        <f>ROUND(E46*19.12%,0)</f>
        <v>85</v>
      </c>
      <c r="D50" s="8">
        <f t="shared" si="26"/>
        <v>78</v>
      </c>
      <c r="F50" s="13">
        <v>5576829.0</v>
      </c>
      <c r="G50" s="9">
        <f t="shared" si="27"/>
        <v>9763500</v>
      </c>
      <c r="H50" s="13">
        <f t="shared" si="28"/>
        <v>11042513</v>
      </c>
      <c r="I50" s="13">
        <v>1.6619342E7</v>
      </c>
      <c r="J50" s="13">
        <v>2.6382842E7</v>
      </c>
      <c r="K50" s="11">
        <f t="shared" si="30"/>
        <v>938613605</v>
      </c>
      <c r="L50" s="9">
        <f t="shared" ref="L50:M50" si="33">F50*C50</f>
        <v>474030465</v>
      </c>
      <c r="M50" s="9">
        <f t="shared" si="33"/>
        <v>761553000</v>
      </c>
      <c r="N50" s="7"/>
      <c r="O50" s="15"/>
      <c r="P50" s="13"/>
      <c r="Q50" s="13"/>
    </row>
    <row r="51">
      <c r="A51" s="7" t="s">
        <v>4</v>
      </c>
      <c r="B51" s="7" t="s">
        <v>37</v>
      </c>
      <c r="C51" s="7">
        <f>ROUND(E46*15.94%,0)</f>
        <v>71</v>
      </c>
      <c r="D51" s="8">
        <f t="shared" si="26"/>
        <v>65</v>
      </c>
      <c r="F51" s="13">
        <v>5576829.0</v>
      </c>
      <c r="G51" s="9">
        <f t="shared" si="27"/>
        <v>5000000</v>
      </c>
      <c r="H51" s="13">
        <f t="shared" si="28"/>
        <v>11042513</v>
      </c>
      <c r="I51" s="13">
        <v>1.6619342E7</v>
      </c>
      <c r="J51" s="21">
        <f>5000000+I51</f>
        <v>21619342</v>
      </c>
      <c r="K51" s="11">
        <f t="shared" si="30"/>
        <v>784018423</v>
      </c>
      <c r="L51" s="9">
        <f t="shared" ref="L51:M51" si="34">F51*C51</f>
        <v>395954859</v>
      </c>
      <c r="M51" s="9">
        <f t="shared" si="34"/>
        <v>325000000</v>
      </c>
      <c r="N51" s="7"/>
      <c r="O51" s="15"/>
      <c r="P51" s="13"/>
      <c r="Q51" s="21"/>
    </row>
    <row r="52">
      <c r="A52" s="22" t="s">
        <v>6</v>
      </c>
      <c r="B52" s="22" t="s">
        <v>32</v>
      </c>
      <c r="C52" s="22">
        <f>ROUND(E52*6.33%,0)</f>
        <v>162</v>
      </c>
      <c r="D52" s="23">
        <f t="shared" ref="D52:D57" si="36">ROUND(C52*88%,0)</f>
        <v>143</v>
      </c>
      <c r="E52" s="22">
        <v>2563.0</v>
      </c>
      <c r="F52" s="27">
        <v>2788414.0</v>
      </c>
      <c r="G52" s="24">
        <f t="shared" si="27"/>
        <v>300000</v>
      </c>
      <c r="H52" s="27">
        <f t="shared" si="28"/>
        <v>10112931</v>
      </c>
      <c r="I52" s="27">
        <v>1.2901345E7</v>
      </c>
      <c r="J52" s="56">
        <f>300000+I52</f>
        <v>13201345</v>
      </c>
      <c r="K52" s="26">
        <f t="shared" si="30"/>
        <v>1638294822</v>
      </c>
      <c r="L52" s="24">
        <f t="shared" ref="L52:M52" si="35">F52*C52</f>
        <v>451723068</v>
      </c>
      <c r="M52" s="24">
        <f t="shared" si="35"/>
        <v>42900000</v>
      </c>
      <c r="N52" s="24">
        <f>SUM(M52:M57)</f>
        <v>9202884000</v>
      </c>
      <c r="O52" s="24">
        <f>SUM(L52:L57)</f>
        <v>7146705082</v>
      </c>
      <c r="P52" s="27">
        <f>SUM(K52:K57)</f>
        <v>25919442153</v>
      </c>
      <c r="Q52" s="28">
        <f>SUM(N52+O52+P52)</f>
        <v>42269031235</v>
      </c>
    </row>
    <row r="53">
      <c r="A53" s="22" t="s">
        <v>6</v>
      </c>
      <c r="B53" s="22" t="s">
        <v>33</v>
      </c>
      <c r="C53" s="22">
        <f>ROUND(E52*6.59%,0)</f>
        <v>169</v>
      </c>
      <c r="D53" s="23">
        <f t="shared" si="36"/>
        <v>149</v>
      </c>
      <c r="F53" s="27">
        <v>2788414.0</v>
      </c>
      <c r="G53" s="24">
        <f t="shared" si="27"/>
        <v>18225000</v>
      </c>
      <c r="H53" s="27">
        <f t="shared" si="28"/>
        <v>10112931</v>
      </c>
      <c r="I53" s="27">
        <v>1.2901345E7</v>
      </c>
      <c r="J53" s="27">
        <v>3.1126345E7</v>
      </c>
      <c r="K53" s="26">
        <f t="shared" si="30"/>
        <v>1709085339</v>
      </c>
      <c r="L53" s="24">
        <f t="shared" ref="L53:M53" si="37">F53*C53</f>
        <v>471241966</v>
      </c>
      <c r="M53" s="24">
        <f t="shared" si="37"/>
        <v>2715525000</v>
      </c>
      <c r="N53" s="22"/>
      <c r="O53" s="23"/>
      <c r="P53" s="27"/>
      <c r="Q53" s="27"/>
    </row>
    <row r="54">
      <c r="A54" s="22" t="s">
        <v>6</v>
      </c>
      <c r="B54" s="22" t="s">
        <v>34</v>
      </c>
      <c r="C54" s="22">
        <f>ROUND(E52*0.8%,0)</f>
        <v>21</v>
      </c>
      <c r="D54" s="23">
        <f t="shared" si="36"/>
        <v>18</v>
      </c>
      <c r="F54" s="27">
        <v>2788414.0</v>
      </c>
      <c r="G54" s="24">
        <f t="shared" si="27"/>
        <v>25680000</v>
      </c>
      <c r="H54" s="27">
        <f t="shared" si="28"/>
        <v>10112931</v>
      </c>
      <c r="I54" s="27">
        <v>1.2901345E7</v>
      </c>
      <c r="J54" s="27">
        <v>3.8581345E7</v>
      </c>
      <c r="K54" s="26">
        <f t="shared" si="30"/>
        <v>212371551</v>
      </c>
      <c r="L54" s="24">
        <f t="shared" ref="L54:M54" si="38">F54*C54</f>
        <v>58556694</v>
      </c>
      <c r="M54" s="24">
        <f t="shared" si="38"/>
        <v>462240000</v>
      </c>
      <c r="N54" s="22"/>
      <c r="O54" s="23"/>
      <c r="P54" s="27"/>
      <c r="Q54" s="27"/>
    </row>
    <row r="55">
      <c r="A55" s="22" t="s">
        <v>6</v>
      </c>
      <c r="B55" s="22" t="s">
        <v>35</v>
      </c>
      <c r="C55" s="22">
        <f>ROUND(E52*57.21%,0)</f>
        <v>1466</v>
      </c>
      <c r="D55" s="23">
        <f t="shared" si="36"/>
        <v>1290</v>
      </c>
      <c r="F55" s="27">
        <v>2788414.0</v>
      </c>
      <c r="G55" s="24">
        <f t="shared" si="27"/>
        <v>754500</v>
      </c>
      <c r="H55" s="27">
        <f t="shared" si="28"/>
        <v>10112931</v>
      </c>
      <c r="I55" s="27">
        <v>1.2901345E7</v>
      </c>
      <c r="J55" s="27">
        <v>1.3655845E7</v>
      </c>
      <c r="K55" s="26">
        <f t="shared" si="30"/>
        <v>14825556846</v>
      </c>
      <c r="L55" s="24">
        <f t="shared" ref="L55:M55" si="39">F55*C55</f>
        <v>4087814924</v>
      </c>
      <c r="M55" s="24">
        <f t="shared" si="39"/>
        <v>973305000</v>
      </c>
      <c r="N55" s="22"/>
      <c r="O55" s="23"/>
      <c r="P55" s="27"/>
      <c r="Q55" s="27"/>
    </row>
    <row r="56">
      <c r="A56" s="22" t="s">
        <v>6</v>
      </c>
      <c r="B56" s="22" t="s">
        <v>36</v>
      </c>
      <c r="C56" s="22">
        <f>ROUND(E52*16.17%,0)</f>
        <v>414</v>
      </c>
      <c r="D56" s="23">
        <f t="shared" si="36"/>
        <v>364</v>
      </c>
      <c r="F56" s="27">
        <v>2788414.0</v>
      </c>
      <c r="G56" s="24">
        <f t="shared" si="27"/>
        <v>9763500</v>
      </c>
      <c r="H56" s="27">
        <f t="shared" si="28"/>
        <v>10112931</v>
      </c>
      <c r="I56" s="27">
        <v>1.2901345E7</v>
      </c>
      <c r="J56" s="27">
        <v>2.2664845E7</v>
      </c>
      <c r="K56" s="26">
        <f t="shared" si="30"/>
        <v>4186753434</v>
      </c>
      <c r="L56" s="24">
        <f t="shared" ref="L56:M56" si="40">F56*C56</f>
        <v>1154403396</v>
      </c>
      <c r="M56" s="24">
        <f t="shared" si="40"/>
        <v>3553914000</v>
      </c>
      <c r="N56" s="22"/>
      <c r="O56" s="23"/>
      <c r="P56" s="27"/>
      <c r="Q56" s="27"/>
    </row>
    <row r="57">
      <c r="A57" s="22" t="s">
        <v>6</v>
      </c>
      <c r="B57" s="22" t="s">
        <v>37</v>
      </c>
      <c r="C57" s="22">
        <f>ROUND(E52*12.92%,0)</f>
        <v>331</v>
      </c>
      <c r="D57" s="23">
        <f t="shared" si="36"/>
        <v>291</v>
      </c>
      <c r="F57" s="27">
        <v>2788414.0</v>
      </c>
      <c r="G57" s="24">
        <f t="shared" si="27"/>
        <v>5000000</v>
      </c>
      <c r="H57" s="27">
        <f t="shared" si="28"/>
        <v>10112931</v>
      </c>
      <c r="I57" s="27">
        <v>1.2901345E7</v>
      </c>
      <c r="J57" s="29">
        <f>5000000+I57</f>
        <v>17901345</v>
      </c>
      <c r="K57" s="26">
        <f t="shared" si="30"/>
        <v>3347380161</v>
      </c>
      <c r="L57" s="24">
        <f t="shared" ref="L57:M57" si="41">F57*C57</f>
        <v>922965034</v>
      </c>
      <c r="M57" s="24">
        <f t="shared" si="41"/>
        <v>1455000000</v>
      </c>
      <c r="N57" s="22"/>
      <c r="O57" s="23"/>
      <c r="P57" s="27"/>
      <c r="Q57" s="29"/>
    </row>
    <row r="58">
      <c r="A58" s="30" t="s">
        <v>8</v>
      </c>
      <c r="B58" s="30" t="s">
        <v>32</v>
      </c>
      <c r="C58" s="30">
        <f>ROUND(E58*7.11%,0)</f>
        <v>1484</v>
      </c>
      <c r="D58" s="31">
        <f t="shared" ref="D58:D63" si="43">ROUND(C58*83%,0)</f>
        <v>1232</v>
      </c>
      <c r="E58" s="30">
        <v>20876.0</v>
      </c>
      <c r="F58" s="35">
        <v>2788414.0</v>
      </c>
      <c r="G58" s="32">
        <f t="shared" si="27"/>
        <v>75000</v>
      </c>
      <c r="H58" s="35">
        <f t="shared" si="28"/>
        <v>3221521</v>
      </c>
      <c r="I58" s="35">
        <v>6009935.0</v>
      </c>
      <c r="J58" s="36">
        <f>75000+I58</f>
        <v>6084935</v>
      </c>
      <c r="K58" s="34">
        <f t="shared" si="30"/>
        <v>4780737164</v>
      </c>
      <c r="L58" s="32">
        <f t="shared" ref="L58:M58" si="42">F58*C58</f>
        <v>4138006376</v>
      </c>
      <c r="M58" s="32">
        <f t="shared" si="42"/>
        <v>92400000</v>
      </c>
      <c r="N58" s="32">
        <f>SUM(M58:M63)</f>
        <v>29872460000</v>
      </c>
      <c r="O58" s="32">
        <f>SUM(L58:L63)</f>
        <v>58210930664</v>
      </c>
      <c r="P58" s="35">
        <f>SUM(K58:K63)</f>
        <v>67252472396</v>
      </c>
      <c r="Q58" s="36">
        <f>SUM(N58+O58+P58)</f>
        <v>155335863060</v>
      </c>
    </row>
    <row r="59">
      <c r="A59" s="30" t="s">
        <v>8</v>
      </c>
      <c r="B59" s="30" t="s">
        <v>33</v>
      </c>
      <c r="C59" s="30">
        <f>ROUND(E58*8.3%,0)</f>
        <v>1733</v>
      </c>
      <c r="D59" s="31">
        <f t="shared" si="43"/>
        <v>1438</v>
      </c>
      <c r="F59" s="35">
        <v>2788414.0</v>
      </c>
      <c r="G59" s="32">
        <f t="shared" si="27"/>
        <v>6075000</v>
      </c>
      <c r="H59" s="35">
        <f t="shared" si="28"/>
        <v>3221521</v>
      </c>
      <c r="I59" s="35">
        <v>6009935.0</v>
      </c>
      <c r="J59" s="35">
        <v>1.2084935E7</v>
      </c>
      <c r="K59" s="34">
        <f t="shared" si="30"/>
        <v>5582895893</v>
      </c>
      <c r="L59" s="32">
        <f t="shared" ref="L59:M59" si="44">F59*C59</f>
        <v>4832321462</v>
      </c>
      <c r="M59" s="32">
        <f t="shared" si="44"/>
        <v>8735850000</v>
      </c>
      <c r="N59" s="30"/>
      <c r="O59" s="31"/>
      <c r="P59" s="35"/>
      <c r="Q59" s="35"/>
    </row>
    <row r="60">
      <c r="A60" s="30" t="s">
        <v>8</v>
      </c>
      <c r="B60" s="30" t="s">
        <v>34</v>
      </c>
      <c r="C60" s="30">
        <f>ROUND(E58*0.4%,0)</f>
        <v>84</v>
      </c>
      <c r="D60" s="31">
        <f t="shared" si="43"/>
        <v>70</v>
      </c>
      <c r="F60" s="35">
        <v>2788414.0</v>
      </c>
      <c r="G60" s="32">
        <f t="shared" si="27"/>
        <v>8560000</v>
      </c>
      <c r="H60" s="35">
        <f t="shared" si="28"/>
        <v>3221521</v>
      </c>
      <c r="I60" s="35">
        <v>6009935.0</v>
      </c>
      <c r="J60" s="35">
        <v>1.4569935E7</v>
      </c>
      <c r="K60" s="34">
        <f t="shared" si="30"/>
        <v>270607764</v>
      </c>
      <c r="L60" s="32">
        <f t="shared" ref="L60:M60" si="45">F60*C60</f>
        <v>234226776</v>
      </c>
      <c r="M60" s="32">
        <f t="shared" si="45"/>
        <v>599200000</v>
      </c>
      <c r="N60" s="30"/>
      <c r="O60" s="31"/>
      <c r="P60" s="35"/>
      <c r="Q60" s="35"/>
    </row>
    <row r="61">
      <c r="A61" s="30" t="s">
        <v>8</v>
      </c>
      <c r="B61" s="30" t="s">
        <v>35</v>
      </c>
      <c r="C61" s="30">
        <f>ROUND(E58*52.34%,0)</f>
        <v>10926</v>
      </c>
      <c r="D61" s="31">
        <f t="shared" si="43"/>
        <v>9069</v>
      </c>
      <c r="F61" s="35">
        <v>2788414.0</v>
      </c>
      <c r="G61" s="32">
        <f t="shared" si="27"/>
        <v>404500</v>
      </c>
      <c r="H61" s="35">
        <f t="shared" si="28"/>
        <v>3221521</v>
      </c>
      <c r="I61" s="35">
        <v>6009935.0</v>
      </c>
      <c r="J61" s="35">
        <v>6414435.0</v>
      </c>
      <c r="K61" s="34">
        <f t="shared" si="30"/>
        <v>35198338446</v>
      </c>
      <c r="L61" s="32">
        <f t="shared" ref="L61:M61" si="46">F61*C61</f>
        <v>30466211364</v>
      </c>
      <c r="M61" s="32">
        <f t="shared" si="46"/>
        <v>3668410500</v>
      </c>
      <c r="N61" s="30"/>
      <c r="O61" s="31"/>
      <c r="P61" s="35"/>
      <c r="Q61" s="35"/>
    </row>
    <row r="62">
      <c r="A62" s="30" t="s">
        <v>8</v>
      </c>
      <c r="B62" s="30" t="s">
        <v>36</v>
      </c>
      <c r="C62" s="30">
        <f>ROUND(E58*22.84%,0)</f>
        <v>4768</v>
      </c>
      <c r="D62" s="31">
        <f t="shared" si="43"/>
        <v>3957</v>
      </c>
      <c r="F62" s="35">
        <v>2788414.0</v>
      </c>
      <c r="G62" s="32">
        <f t="shared" si="27"/>
        <v>3253500</v>
      </c>
      <c r="H62" s="35">
        <f t="shared" si="28"/>
        <v>3221521</v>
      </c>
      <c r="I62" s="35">
        <v>6009935.0</v>
      </c>
      <c r="J62" s="35">
        <v>9263435.0</v>
      </c>
      <c r="K62" s="34">
        <f t="shared" si="30"/>
        <v>15360212128</v>
      </c>
      <c r="L62" s="32">
        <f t="shared" ref="L62:M62" si="47">F62*C62</f>
        <v>13295157952</v>
      </c>
      <c r="M62" s="32">
        <f t="shared" si="47"/>
        <v>12874099500</v>
      </c>
      <c r="N62" s="30"/>
      <c r="O62" s="31"/>
      <c r="P62" s="35"/>
      <c r="Q62" s="35"/>
    </row>
    <row r="63">
      <c r="A63" s="30" t="s">
        <v>8</v>
      </c>
      <c r="B63" s="30" t="s">
        <v>37</v>
      </c>
      <c r="C63" s="30">
        <f>ROUND(E58*9.01%,0)</f>
        <v>1881</v>
      </c>
      <c r="D63" s="31">
        <f t="shared" si="43"/>
        <v>1561</v>
      </c>
      <c r="F63" s="35">
        <v>2788414.0</v>
      </c>
      <c r="G63" s="32">
        <f t="shared" si="27"/>
        <v>2500000</v>
      </c>
      <c r="H63" s="35">
        <f t="shared" si="28"/>
        <v>3221521</v>
      </c>
      <c r="I63" s="35">
        <v>6009935.0</v>
      </c>
      <c r="J63" s="38">
        <f>2500000+I63</f>
        <v>8509935</v>
      </c>
      <c r="K63" s="34">
        <f t="shared" si="30"/>
        <v>6059681001</v>
      </c>
      <c r="L63" s="32">
        <f t="shared" ref="L63:M63" si="48">F63*C63</f>
        <v>5245006734</v>
      </c>
      <c r="M63" s="32">
        <f t="shared" si="48"/>
        <v>3902500000</v>
      </c>
      <c r="N63" s="30"/>
      <c r="O63" s="31"/>
      <c r="P63" s="35"/>
      <c r="Q63" s="38"/>
    </row>
    <row r="64">
      <c r="A64" s="39" t="s">
        <v>10</v>
      </c>
      <c r="B64" s="39" t="s">
        <v>32</v>
      </c>
      <c r="C64" s="39">
        <f>ROUND(E64*0.56%,0)</f>
        <v>86</v>
      </c>
      <c r="D64" s="39"/>
      <c r="E64" s="39">
        <v>15355.0</v>
      </c>
      <c r="F64" s="41">
        <v>0.0</v>
      </c>
      <c r="G64" s="41">
        <f t="shared" si="27"/>
        <v>75000</v>
      </c>
      <c r="H64" s="41">
        <f t="shared" si="28"/>
        <v>76763</v>
      </c>
      <c r="I64" s="41">
        <v>76763.0</v>
      </c>
      <c r="J64" s="42">
        <f>75000+I64</f>
        <v>151763</v>
      </c>
      <c r="K64" s="43">
        <f t="shared" si="30"/>
        <v>6601618</v>
      </c>
      <c r="L64" s="41">
        <f t="shared" ref="L64:L75" si="49">F64*C64</f>
        <v>0</v>
      </c>
      <c r="M64" s="41">
        <f t="shared" ref="M64:M75" si="50">G64*C64</f>
        <v>6450000</v>
      </c>
      <c r="N64" s="43">
        <f>SUM(M64:M69)</f>
        <v>56206179864</v>
      </c>
      <c r="O64" s="39">
        <v>0.0</v>
      </c>
      <c r="P64" s="41">
        <f>SUM(K64:K69)</f>
        <v>1178695865</v>
      </c>
      <c r="Q64" s="42">
        <f>SUM(N64+O64+P64)</f>
        <v>57384875729</v>
      </c>
    </row>
    <row r="65">
      <c r="A65" s="39" t="s">
        <v>10</v>
      </c>
      <c r="B65" s="39" t="s">
        <v>33</v>
      </c>
      <c r="C65" s="39">
        <f>ROUND(E64*23.48%,0)</f>
        <v>3605</v>
      </c>
      <c r="F65" s="41">
        <v>0.0</v>
      </c>
      <c r="G65" s="41">
        <f t="shared" si="27"/>
        <v>3995414</v>
      </c>
      <c r="H65" s="41">
        <f t="shared" si="28"/>
        <v>76763</v>
      </c>
      <c r="I65" s="41">
        <v>76763.0</v>
      </c>
      <c r="J65" s="45">
        <v>4072177.0</v>
      </c>
      <c r="K65" s="43">
        <f t="shared" si="30"/>
        <v>276730615</v>
      </c>
      <c r="L65" s="41">
        <f t="shared" si="49"/>
        <v>0</v>
      </c>
      <c r="M65" s="41">
        <f t="shared" si="50"/>
        <v>14403467470</v>
      </c>
      <c r="N65" s="39"/>
      <c r="O65" s="40"/>
      <c r="P65" s="41"/>
      <c r="Q65" s="45"/>
    </row>
    <row r="66">
      <c r="A66" s="39" t="s">
        <v>10</v>
      </c>
      <c r="B66" s="39" t="s">
        <v>34</v>
      </c>
      <c r="C66" s="39">
        <f>ROUND(E64*2.49%,0)</f>
        <v>382</v>
      </c>
      <c r="F66" s="41">
        <v>0.0</v>
      </c>
      <c r="G66" s="41">
        <f t="shared" si="27"/>
        <v>4128414</v>
      </c>
      <c r="H66" s="41">
        <f t="shared" si="28"/>
        <v>76763</v>
      </c>
      <c r="I66" s="41">
        <v>76763.0</v>
      </c>
      <c r="J66" s="44">
        <v>4205177.0</v>
      </c>
      <c r="K66" s="43">
        <f t="shared" si="30"/>
        <v>29323466</v>
      </c>
      <c r="L66" s="41">
        <f t="shared" si="49"/>
        <v>0</v>
      </c>
      <c r="M66" s="41">
        <f t="shared" si="50"/>
        <v>1577054148</v>
      </c>
      <c r="N66" s="39"/>
      <c r="O66" s="40"/>
      <c r="P66" s="41"/>
      <c r="Q66" s="44"/>
    </row>
    <row r="67">
      <c r="A67" s="39" t="s">
        <v>10</v>
      </c>
      <c r="B67" s="39" t="s">
        <v>35</v>
      </c>
      <c r="C67" s="39">
        <f>ROUND(E64*8.56%,0)</f>
        <v>1314</v>
      </c>
      <c r="F67" s="41">
        <v>0.0</v>
      </c>
      <c r="G67" s="41">
        <f t="shared" si="27"/>
        <v>3084914</v>
      </c>
      <c r="H67" s="41">
        <f t="shared" si="28"/>
        <v>76763</v>
      </c>
      <c r="I67" s="41">
        <v>76763.0</v>
      </c>
      <c r="J67" s="44">
        <v>3161677.0</v>
      </c>
      <c r="K67" s="43">
        <f t="shared" si="30"/>
        <v>100866582</v>
      </c>
      <c r="L67" s="41">
        <f t="shared" si="49"/>
        <v>0</v>
      </c>
      <c r="M67" s="41">
        <f t="shared" si="50"/>
        <v>4053576996</v>
      </c>
      <c r="N67" s="39"/>
      <c r="O67" s="40"/>
      <c r="P67" s="41"/>
      <c r="Q67" s="44"/>
    </row>
    <row r="68">
      <c r="A68" s="39" t="s">
        <v>10</v>
      </c>
      <c r="B68" s="39" t="s">
        <v>36</v>
      </c>
      <c r="C68" s="39">
        <f>ROUND(E64*61.053%,0)</f>
        <v>9375</v>
      </c>
      <c r="F68" s="41">
        <v>0.0</v>
      </c>
      <c r="G68" s="41">
        <f t="shared" si="27"/>
        <v>3794414</v>
      </c>
      <c r="H68" s="41">
        <f t="shared" si="28"/>
        <v>76763</v>
      </c>
      <c r="I68" s="41">
        <v>76763.0</v>
      </c>
      <c r="J68" s="44">
        <v>3871177.0</v>
      </c>
      <c r="K68" s="43">
        <f t="shared" si="30"/>
        <v>719653125</v>
      </c>
      <c r="L68" s="41">
        <f t="shared" si="49"/>
        <v>0</v>
      </c>
      <c r="M68" s="41">
        <f t="shared" si="50"/>
        <v>35572631250</v>
      </c>
      <c r="N68" s="39"/>
      <c r="O68" s="40"/>
      <c r="P68" s="41"/>
      <c r="Q68" s="44"/>
    </row>
    <row r="69">
      <c r="A69" s="39" t="s">
        <v>10</v>
      </c>
      <c r="B69" s="39" t="s">
        <v>37</v>
      </c>
      <c r="C69" s="39">
        <f>ROUND(E64*3.86%,0)</f>
        <v>593</v>
      </c>
      <c r="F69" s="41">
        <v>0.0</v>
      </c>
      <c r="G69" s="41">
        <f t="shared" si="27"/>
        <v>1000000</v>
      </c>
      <c r="H69" s="41">
        <f t="shared" si="28"/>
        <v>76763</v>
      </c>
      <c r="I69" s="41">
        <v>76763.0</v>
      </c>
      <c r="J69" s="46">
        <f>1000000+I69</f>
        <v>1076763</v>
      </c>
      <c r="K69" s="43">
        <f t="shared" si="30"/>
        <v>45520459</v>
      </c>
      <c r="L69" s="41">
        <f t="shared" si="49"/>
        <v>0</v>
      </c>
      <c r="M69" s="41">
        <f t="shared" si="50"/>
        <v>593000000</v>
      </c>
      <c r="N69" s="39"/>
      <c r="O69" s="40"/>
      <c r="P69" s="41"/>
      <c r="Q69" s="46"/>
    </row>
    <row r="70">
      <c r="A70" s="47" t="s">
        <v>12</v>
      </c>
      <c r="B70" s="47" t="s">
        <v>32</v>
      </c>
      <c r="C70" s="47">
        <f>ROUND(E70*8.38%,0)</f>
        <v>47</v>
      </c>
      <c r="D70" s="47"/>
      <c r="E70" s="47">
        <v>555.0</v>
      </c>
      <c r="F70" s="51">
        <v>5576829.0</v>
      </c>
      <c r="G70" s="48">
        <f t="shared" si="27"/>
        <v>300000</v>
      </c>
      <c r="H70" s="51">
        <f t="shared" si="28"/>
        <v>943253</v>
      </c>
      <c r="I70" s="51">
        <v>6520082.0</v>
      </c>
      <c r="J70" s="49">
        <f>300000+I70</f>
        <v>6820082</v>
      </c>
      <c r="K70" s="50">
        <f t="shared" si="30"/>
        <v>44332891</v>
      </c>
      <c r="L70" s="48">
        <f t="shared" si="49"/>
        <v>262110963</v>
      </c>
      <c r="M70" s="48">
        <f t="shared" si="50"/>
        <v>14100000</v>
      </c>
      <c r="N70" s="48">
        <f>SUM(M70:M75)</f>
        <v>2462039000</v>
      </c>
      <c r="O70" s="48">
        <f>SUM(L70:L75)</f>
        <v>3095140095</v>
      </c>
      <c r="P70" s="51">
        <f>SUM(K70:K75)</f>
        <v>523505415</v>
      </c>
      <c r="Q70" s="49">
        <f>SUM(N70+O70+P70)</f>
        <v>6080684510</v>
      </c>
    </row>
    <row r="71">
      <c r="A71" s="47" t="s">
        <v>12</v>
      </c>
      <c r="B71" s="47" t="s">
        <v>33</v>
      </c>
      <c r="C71" s="47">
        <f>ROUND(E70*6.23%,0)</f>
        <v>35</v>
      </c>
      <c r="F71" s="51">
        <v>5576829.0</v>
      </c>
      <c r="G71" s="48">
        <f t="shared" si="27"/>
        <v>18225000</v>
      </c>
      <c r="H71" s="51">
        <f t="shared" si="28"/>
        <v>943253</v>
      </c>
      <c r="I71" s="51">
        <v>6520082.0</v>
      </c>
      <c r="J71" s="51">
        <v>2.4745082E7</v>
      </c>
      <c r="K71" s="50">
        <f t="shared" si="30"/>
        <v>33013855</v>
      </c>
      <c r="L71" s="48">
        <f t="shared" si="49"/>
        <v>195189015</v>
      </c>
      <c r="M71" s="48">
        <f t="shared" si="50"/>
        <v>637875000</v>
      </c>
      <c r="N71" s="47"/>
      <c r="O71" s="52"/>
      <c r="P71" s="51"/>
      <c r="Q71" s="51"/>
    </row>
    <row r="72">
      <c r="A72" s="47" t="s">
        <v>12</v>
      </c>
      <c r="B72" s="47" t="s">
        <v>34</v>
      </c>
      <c r="C72" s="47">
        <f>ROUND(E70*0.98%,0)</f>
        <v>5</v>
      </c>
      <c r="F72" s="51">
        <v>5576829.0</v>
      </c>
      <c r="G72" s="48">
        <f t="shared" si="27"/>
        <v>25680000</v>
      </c>
      <c r="H72" s="51">
        <f t="shared" si="28"/>
        <v>943253</v>
      </c>
      <c r="I72" s="51">
        <v>6520082.0</v>
      </c>
      <c r="J72" s="51">
        <v>3.2200082E7</v>
      </c>
      <c r="K72" s="50">
        <f t="shared" si="30"/>
        <v>4716265</v>
      </c>
      <c r="L72" s="48">
        <f t="shared" si="49"/>
        <v>27884145</v>
      </c>
      <c r="M72" s="48">
        <f t="shared" si="50"/>
        <v>128400000</v>
      </c>
      <c r="N72" s="47"/>
      <c r="O72" s="52"/>
      <c r="P72" s="51"/>
      <c r="Q72" s="51"/>
    </row>
    <row r="73">
      <c r="A73" s="47" t="s">
        <v>12</v>
      </c>
      <c r="B73" s="47" t="s">
        <v>35</v>
      </c>
      <c r="C73" s="47">
        <f>ROUND(E70*49.32%,0)</f>
        <v>274</v>
      </c>
      <c r="F73" s="51">
        <v>5576829.0</v>
      </c>
      <c r="G73" s="48">
        <f t="shared" si="27"/>
        <v>754500</v>
      </c>
      <c r="H73" s="51">
        <f t="shared" si="28"/>
        <v>943253</v>
      </c>
      <c r="I73" s="51">
        <v>6520082.0</v>
      </c>
      <c r="J73" s="51">
        <v>7274582.0</v>
      </c>
      <c r="K73" s="50">
        <f t="shared" si="30"/>
        <v>258451322</v>
      </c>
      <c r="L73" s="48">
        <f t="shared" si="49"/>
        <v>1528051146</v>
      </c>
      <c r="M73" s="48">
        <f t="shared" si="50"/>
        <v>206733000</v>
      </c>
      <c r="N73" s="47"/>
      <c r="O73" s="52"/>
      <c r="P73" s="51"/>
      <c r="Q73" s="51"/>
    </row>
    <row r="74">
      <c r="A74" s="47" t="s">
        <v>12</v>
      </c>
      <c r="B74" s="47" t="s">
        <v>36</v>
      </c>
      <c r="C74" s="47">
        <f>ROUND(E70*19.12%,0)</f>
        <v>106</v>
      </c>
      <c r="F74" s="51">
        <v>5576829.0</v>
      </c>
      <c r="G74" s="48">
        <f t="shared" si="27"/>
        <v>9763500</v>
      </c>
      <c r="H74" s="51">
        <f t="shared" si="28"/>
        <v>943253</v>
      </c>
      <c r="I74" s="51">
        <v>6520082.0</v>
      </c>
      <c r="J74" s="51">
        <v>1.6283582E7</v>
      </c>
      <c r="K74" s="50">
        <f t="shared" si="30"/>
        <v>99984818</v>
      </c>
      <c r="L74" s="48">
        <f t="shared" si="49"/>
        <v>591143874</v>
      </c>
      <c r="M74" s="48">
        <f t="shared" si="50"/>
        <v>1034931000</v>
      </c>
      <c r="N74" s="47"/>
      <c r="O74" s="52"/>
      <c r="P74" s="51"/>
      <c r="Q74" s="51"/>
    </row>
    <row r="75">
      <c r="A75" s="47" t="s">
        <v>12</v>
      </c>
      <c r="B75" s="47" t="s">
        <v>37</v>
      </c>
      <c r="C75" s="47">
        <f>ROUND(E70*15.94%,0)</f>
        <v>88</v>
      </c>
      <c r="F75" s="51">
        <v>5576829.0</v>
      </c>
      <c r="G75" s="48">
        <f t="shared" si="27"/>
        <v>5000000</v>
      </c>
      <c r="H75" s="51">
        <f t="shared" si="28"/>
        <v>943253</v>
      </c>
      <c r="I75" s="51">
        <v>6520082.0</v>
      </c>
      <c r="J75" s="54">
        <f>5000000+I75</f>
        <v>11520082</v>
      </c>
      <c r="K75" s="50">
        <f t="shared" si="30"/>
        <v>83006264</v>
      </c>
      <c r="L75" s="48">
        <f t="shared" si="49"/>
        <v>490760952</v>
      </c>
      <c r="M75" s="48">
        <f t="shared" si="50"/>
        <v>440000000</v>
      </c>
      <c r="N75" s="47"/>
      <c r="O75" s="52"/>
      <c r="P75" s="51"/>
      <c r="Q75" s="5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25"/>
    <col customWidth="1" min="13" max="13" width="17.0"/>
    <col customWidth="1" min="14" max="14" width="16.13"/>
    <col customWidth="1" min="15" max="16" width="14.13"/>
    <col customWidth="1" min="17" max="17" width="15.88"/>
    <col customWidth="1" min="18" max="18" width="19.88"/>
    <col customWidth="1" min="19" max="19" width="19.0"/>
  </cols>
  <sheetData>
    <row r="1">
      <c r="A1" s="57" t="s">
        <v>15</v>
      </c>
      <c r="B1" s="57" t="s">
        <v>16</v>
      </c>
      <c r="C1" s="57" t="s">
        <v>17</v>
      </c>
      <c r="D1" s="57" t="s">
        <v>18</v>
      </c>
      <c r="E1" s="57" t="s">
        <v>19</v>
      </c>
      <c r="F1" s="57" t="s">
        <v>20</v>
      </c>
      <c r="G1" s="57" t="s">
        <v>21</v>
      </c>
      <c r="H1" s="57" t="s">
        <v>22</v>
      </c>
      <c r="I1" s="57" t="s">
        <v>23</v>
      </c>
      <c r="J1" s="57" t="s">
        <v>24</v>
      </c>
      <c r="K1" s="57" t="s">
        <v>25</v>
      </c>
      <c r="L1" s="57" t="s">
        <v>26</v>
      </c>
      <c r="M1" s="57" t="s">
        <v>27</v>
      </c>
      <c r="N1" s="57" t="s">
        <v>28</v>
      </c>
      <c r="O1" s="57" t="s">
        <v>29</v>
      </c>
      <c r="P1" s="57" t="s">
        <v>30</v>
      </c>
      <c r="Q1" s="57" t="s">
        <v>31</v>
      </c>
      <c r="R1" s="58" t="s">
        <v>39</v>
      </c>
      <c r="S1" s="1" t="s">
        <v>40</v>
      </c>
      <c r="T1" s="58" t="s">
        <v>41</v>
      </c>
      <c r="U1" s="59"/>
      <c r="V1" s="59"/>
      <c r="W1" s="59"/>
      <c r="X1" s="59"/>
      <c r="Y1" s="59"/>
      <c r="Z1" s="59"/>
    </row>
    <row r="2">
      <c r="A2" s="7" t="s">
        <v>4</v>
      </c>
      <c r="B2" s="60" t="s">
        <v>32</v>
      </c>
      <c r="C2" s="7">
        <f>ROUND(E2*8.38%,0)</f>
        <v>35</v>
      </c>
      <c r="D2" s="8">
        <f t="shared" ref="D2:D7" si="1">ROUND(C2*91.91%,0)</f>
        <v>32</v>
      </c>
      <c r="E2" s="8">
        <v>413.0</v>
      </c>
      <c r="F2" s="9">
        <v>5465389.0</v>
      </c>
      <c r="G2" s="9">
        <f t="shared" ref="G2:G31" si="2">J2-I2</f>
        <v>300000</v>
      </c>
      <c r="H2" s="9">
        <f t="shared" ref="H2:H31" si="3">I2-F2</f>
        <v>11042513</v>
      </c>
      <c r="I2" s="9">
        <v>1.6507902E7</v>
      </c>
      <c r="J2" s="10">
        <f>300000+I2</f>
        <v>16807902</v>
      </c>
      <c r="K2" s="9">
        <f>11042513*E2</f>
        <v>4560557869</v>
      </c>
      <c r="L2" s="9">
        <f>I2*E2</f>
        <v>6817763526</v>
      </c>
      <c r="M2" s="9">
        <f>G2*D2</f>
        <v>9600000</v>
      </c>
      <c r="N2" s="11">
        <f>SUM(M2:M7)</f>
        <v>1690322000</v>
      </c>
      <c r="O2" s="12">
        <f>SUM(L2:L7)</f>
        <v>8883680568</v>
      </c>
      <c r="P2" s="13">
        <f>SUM(K2:K7)</f>
        <v>8734627783</v>
      </c>
      <c r="Q2" s="14">
        <f>SUM(N2+O2+P2)</f>
        <v>19308630351</v>
      </c>
      <c r="R2" s="61"/>
      <c r="S2" s="62">
        <f>(Q2/R3)</f>
        <v>0.000378604255</v>
      </c>
      <c r="T2" s="62">
        <f>S2*100</f>
        <v>0.0378604255</v>
      </c>
    </row>
    <row r="3">
      <c r="A3" s="7" t="s">
        <v>4</v>
      </c>
      <c r="B3" s="60" t="s">
        <v>33</v>
      </c>
      <c r="C3" s="7">
        <f>ROUND(E2*6.1%,0)</f>
        <v>25</v>
      </c>
      <c r="D3" s="8">
        <f t="shared" si="1"/>
        <v>23</v>
      </c>
      <c r="E3" s="15"/>
      <c r="F3" s="9">
        <v>5465389.0</v>
      </c>
      <c r="G3" s="9">
        <f t="shared" si="2"/>
        <v>18225000</v>
      </c>
      <c r="H3" s="9">
        <f t="shared" si="3"/>
        <v>11042513</v>
      </c>
      <c r="I3" s="9">
        <v>1.6507902E7</v>
      </c>
      <c r="J3" s="16">
        <v>3.4732902E7</v>
      </c>
      <c r="K3" s="11">
        <f t="shared" ref="K3:K31" si="5">H3*C3</f>
        <v>276062825</v>
      </c>
      <c r="L3" s="9">
        <f t="shared" ref="L3:M3" si="4">F3*C3</f>
        <v>136634725</v>
      </c>
      <c r="M3" s="9">
        <f t="shared" si="4"/>
        <v>419175000</v>
      </c>
      <c r="N3" s="7"/>
      <c r="O3" s="15"/>
      <c r="P3" s="13"/>
      <c r="Q3" s="16"/>
      <c r="R3" s="61">
        <v>5.0999507E13</v>
      </c>
    </row>
    <row r="4">
      <c r="A4" s="7" t="s">
        <v>4</v>
      </c>
      <c r="B4" s="60" t="s">
        <v>34</v>
      </c>
      <c r="C4" s="7">
        <f>ROUND(E2*0.98%,0)</f>
        <v>4</v>
      </c>
      <c r="D4" s="8">
        <f t="shared" si="1"/>
        <v>4</v>
      </c>
      <c r="E4" s="18"/>
      <c r="F4" s="9">
        <v>5465389.0</v>
      </c>
      <c r="G4" s="9">
        <f t="shared" si="2"/>
        <v>25680000</v>
      </c>
      <c r="H4" s="9">
        <f t="shared" si="3"/>
        <v>11042513</v>
      </c>
      <c r="I4" s="9">
        <v>1.6507902E7</v>
      </c>
      <c r="J4" s="16">
        <v>4.2187902E7</v>
      </c>
      <c r="K4" s="11">
        <f t="shared" si="5"/>
        <v>44170052</v>
      </c>
      <c r="L4" s="9">
        <f t="shared" ref="L4:M4" si="6">F4*C4</f>
        <v>21861556</v>
      </c>
      <c r="M4" s="9">
        <f t="shared" si="6"/>
        <v>102720000</v>
      </c>
      <c r="N4" s="7"/>
      <c r="O4" s="15"/>
      <c r="P4" s="13"/>
      <c r="Q4" s="19"/>
    </row>
    <row r="5">
      <c r="A5" s="7" t="s">
        <v>4</v>
      </c>
      <c r="B5" s="60" t="s">
        <v>35</v>
      </c>
      <c r="C5" s="7">
        <f>ROUND(E2*49.5%,0)</f>
        <v>204</v>
      </c>
      <c r="D5" s="8">
        <f t="shared" si="1"/>
        <v>187</v>
      </c>
      <c r="E5" s="20"/>
      <c r="F5" s="9">
        <v>5465389.0</v>
      </c>
      <c r="G5" s="9">
        <f t="shared" si="2"/>
        <v>754500</v>
      </c>
      <c r="H5" s="9">
        <f t="shared" si="3"/>
        <v>11042513</v>
      </c>
      <c r="I5" s="9">
        <v>1.6507902E7</v>
      </c>
      <c r="J5" s="19">
        <v>1.7262402E7</v>
      </c>
      <c r="K5" s="11">
        <f t="shared" si="5"/>
        <v>2252672652</v>
      </c>
      <c r="L5" s="9">
        <f t="shared" ref="L5:M5" si="7">F5*C5</f>
        <v>1114939356</v>
      </c>
      <c r="M5" s="9">
        <f t="shared" si="7"/>
        <v>141091500</v>
      </c>
      <c r="N5" s="7"/>
      <c r="O5" s="15"/>
      <c r="P5" s="13"/>
      <c r="Q5" s="19"/>
    </row>
    <row r="6">
      <c r="A6" s="7" t="s">
        <v>4</v>
      </c>
      <c r="B6" s="60" t="s">
        <v>36</v>
      </c>
      <c r="C6" s="7">
        <f>ROUND(E2*19.12%,0)</f>
        <v>79</v>
      </c>
      <c r="D6" s="8">
        <f t="shared" si="1"/>
        <v>73</v>
      </c>
      <c r="E6" s="15"/>
      <c r="F6" s="9">
        <v>5465389.0</v>
      </c>
      <c r="G6" s="9">
        <f t="shared" si="2"/>
        <v>9763500</v>
      </c>
      <c r="H6" s="9">
        <f t="shared" si="3"/>
        <v>11042513</v>
      </c>
      <c r="I6" s="9">
        <v>1.6507902E7</v>
      </c>
      <c r="J6" s="19">
        <v>2.6271402E7</v>
      </c>
      <c r="K6" s="11">
        <f t="shared" si="5"/>
        <v>872358527</v>
      </c>
      <c r="L6" s="9">
        <f t="shared" ref="L6:M6" si="8">F6*C6</f>
        <v>431765731</v>
      </c>
      <c r="M6" s="9">
        <f t="shared" si="8"/>
        <v>712735500</v>
      </c>
      <c r="N6" s="7"/>
      <c r="O6" s="15"/>
      <c r="P6" s="13"/>
      <c r="Q6" s="13"/>
    </row>
    <row r="7">
      <c r="A7" s="7" t="s">
        <v>4</v>
      </c>
      <c r="B7" s="60" t="s">
        <v>37</v>
      </c>
      <c r="C7" s="7">
        <f>ROUND(E2*15.94%,0)</f>
        <v>66</v>
      </c>
      <c r="D7" s="8">
        <f t="shared" si="1"/>
        <v>61</v>
      </c>
      <c r="E7" s="15"/>
      <c r="F7" s="9">
        <v>5465389.0</v>
      </c>
      <c r="G7" s="9">
        <f t="shared" si="2"/>
        <v>5000000</v>
      </c>
      <c r="H7" s="9">
        <f t="shared" si="3"/>
        <v>11042513</v>
      </c>
      <c r="I7" s="9">
        <v>1.6507902E7</v>
      </c>
      <c r="J7" s="21">
        <f>5000000+I7</f>
        <v>21507902</v>
      </c>
      <c r="K7" s="11">
        <f t="shared" si="5"/>
        <v>728805858</v>
      </c>
      <c r="L7" s="9">
        <f t="shared" ref="L7:M7" si="9">F7*C7</f>
        <v>360715674</v>
      </c>
      <c r="M7" s="9">
        <f t="shared" si="9"/>
        <v>305000000</v>
      </c>
      <c r="N7" s="7"/>
      <c r="O7" s="15"/>
      <c r="P7" s="13"/>
      <c r="Q7" s="21"/>
    </row>
    <row r="8">
      <c r="A8" s="22" t="s">
        <v>6</v>
      </c>
      <c r="B8" s="63" t="s">
        <v>32</v>
      </c>
      <c r="C8" s="22">
        <v>150.0</v>
      </c>
      <c r="D8" s="23">
        <f t="shared" ref="D8:D13" si="11">ROUND(C8*88%,0)</f>
        <v>132</v>
      </c>
      <c r="E8" s="23">
        <f>SUM(C8:C13)</f>
        <v>2369</v>
      </c>
      <c r="F8" s="24">
        <v>2732694.0</v>
      </c>
      <c r="G8" s="24">
        <f t="shared" si="2"/>
        <v>75000</v>
      </c>
      <c r="H8" s="24">
        <f t="shared" si="3"/>
        <v>10112931</v>
      </c>
      <c r="I8" s="24">
        <v>1.2845625E7</v>
      </c>
      <c r="J8" s="25">
        <f>75000+I8</f>
        <v>12920625</v>
      </c>
      <c r="K8" s="26">
        <f t="shared" si="5"/>
        <v>1516939650</v>
      </c>
      <c r="L8" s="24">
        <f t="shared" ref="L8:M8" si="10">F8*C8</f>
        <v>409904100</v>
      </c>
      <c r="M8" s="24">
        <f t="shared" si="10"/>
        <v>9900000</v>
      </c>
      <c r="N8" s="24">
        <f>SUM(M8:M13)</f>
        <v>8477948500</v>
      </c>
      <c r="O8" s="24">
        <f>SUM(L8:L13)</f>
        <v>6473752086</v>
      </c>
      <c r="P8" s="27">
        <f>SUM(K8:K13)</f>
        <v>23957533539</v>
      </c>
      <c r="Q8" s="28">
        <f>SUM(N8+O8+P8)</f>
        <v>38909234125</v>
      </c>
      <c r="S8" s="62">
        <f>Q8/R3</f>
        <v>0.0007629335343</v>
      </c>
      <c r="T8" s="62">
        <f>S8*100</f>
        <v>0.07629335343</v>
      </c>
    </row>
    <row r="9">
      <c r="A9" s="22" t="s">
        <v>6</v>
      </c>
      <c r="B9" s="63" t="s">
        <v>33</v>
      </c>
      <c r="C9" s="22">
        <v>156.0</v>
      </c>
      <c r="D9" s="23">
        <f t="shared" si="11"/>
        <v>137</v>
      </c>
      <c r="E9" s="23"/>
      <c r="F9" s="24">
        <v>2732694.0</v>
      </c>
      <c r="G9" s="24">
        <f t="shared" si="2"/>
        <v>18225000</v>
      </c>
      <c r="H9" s="24">
        <f t="shared" si="3"/>
        <v>10112931</v>
      </c>
      <c r="I9" s="24">
        <v>1.2845625E7</v>
      </c>
      <c r="J9" s="27">
        <v>3.1070625E7</v>
      </c>
      <c r="K9" s="26">
        <f t="shared" si="5"/>
        <v>1577617236</v>
      </c>
      <c r="L9" s="24">
        <f t="shared" ref="L9:M9" si="12">F9*C9</f>
        <v>426300264</v>
      </c>
      <c r="M9" s="24">
        <f t="shared" si="12"/>
        <v>2496825000</v>
      </c>
      <c r="N9" s="22"/>
      <c r="O9" s="23"/>
      <c r="P9" s="27"/>
      <c r="Q9" s="27"/>
    </row>
    <row r="10">
      <c r="A10" s="22" t="s">
        <v>6</v>
      </c>
      <c r="B10" s="63" t="s">
        <v>34</v>
      </c>
      <c r="C10" s="22">
        <v>19.0</v>
      </c>
      <c r="D10" s="23">
        <f t="shared" si="11"/>
        <v>17</v>
      </c>
      <c r="E10" s="23"/>
      <c r="F10" s="24">
        <v>2732694.0</v>
      </c>
      <c r="G10" s="24">
        <f t="shared" si="2"/>
        <v>25680000</v>
      </c>
      <c r="H10" s="24">
        <f t="shared" si="3"/>
        <v>10112931</v>
      </c>
      <c r="I10" s="24">
        <v>1.2845625E7</v>
      </c>
      <c r="J10" s="27">
        <v>3.8525625E7</v>
      </c>
      <c r="K10" s="26">
        <f t="shared" si="5"/>
        <v>192145689</v>
      </c>
      <c r="L10" s="24">
        <f t="shared" ref="L10:M10" si="13">F10*C10</f>
        <v>51921186</v>
      </c>
      <c r="M10" s="24">
        <f t="shared" si="13"/>
        <v>436560000</v>
      </c>
      <c r="N10" s="22"/>
      <c r="O10" s="23"/>
      <c r="P10" s="27"/>
      <c r="Q10" s="27"/>
    </row>
    <row r="11">
      <c r="A11" s="22" t="s">
        <v>6</v>
      </c>
      <c r="B11" s="63" t="s">
        <v>35</v>
      </c>
      <c r="C11" s="22">
        <v>1355.0</v>
      </c>
      <c r="D11" s="23">
        <f t="shared" si="11"/>
        <v>1192</v>
      </c>
      <c r="E11" s="23"/>
      <c r="F11" s="24">
        <v>2732694.0</v>
      </c>
      <c r="G11" s="24">
        <f t="shared" si="2"/>
        <v>754500</v>
      </c>
      <c r="H11" s="24">
        <f t="shared" si="3"/>
        <v>10112931</v>
      </c>
      <c r="I11" s="24">
        <v>1.2845625E7</v>
      </c>
      <c r="J11" s="27">
        <v>1.3600125E7</v>
      </c>
      <c r="K11" s="26">
        <f t="shared" si="5"/>
        <v>13703021505</v>
      </c>
      <c r="L11" s="24">
        <f t="shared" ref="L11:M11" si="14">F11*C11</f>
        <v>3702800370</v>
      </c>
      <c r="M11" s="24">
        <f t="shared" si="14"/>
        <v>899364000</v>
      </c>
      <c r="N11" s="22"/>
      <c r="O11" s="23"/>
      <c r="P11" s="27"/>
      <c r="Q11" s="27"/>
    </row>
    <row r="12">
      <c r="A12" s="22" t="s">
        <v>6</v>
      </c>
      <c r="B12" s="63" t="s">
        <v>36</v>
      </c>
      <c r="C12" s="22">
        <v>383.0</v>
      </c>
      <c r="D12" s="23">
        <f t="shared" si="11"/>
        <v>337</v>
      </c>
      <c r="E12" s="23"/>
      <c r="F12" s="24">
        <v>2732694.0</v>
      </c>
      <c r="G12" s="24">
        <f t="shared" si="2"/>
        <v>9763500</v>
      </c>
      <c r="H12" s="24">
        <f t="shared" si="3"/>
        <v>10112931</v>
      </c>
      <c r="I12" s="24">
        <v>1.2845625E7</v>
      </c>
      <c r="J12" s="27">
        <v>2.2609125E7</v>
      </c>
      <c r="K12" s="26">
        <f t="shared" si="5"/>
        <v>3873252573</v>
      </c>
      <c r="L12" s="24">
        <f t="shared" ref="L12:M12" si="15">F12*C12</f>
        <v>1046621802</v>
      </c>
      <c r="M12" s="24">
        <f t="shared" si="15"/>
        <v>3290299500</v>
      </c>
      <c r="N12" s="22"/>
      <c r="O12" s="23"/>
      <c r="P12" s="27"/>
      <c r="Q12" s="27"/>
    </row>
    <row r="13">
      <c r="A13" s="22" t="s">
        <v>6</v>
      </c>
      <c r="B13" s="63" t="s">
        <v>37</v>
      </c>
      <c r="C13" s="22">
        <v>306.0</v>
      </c>
      <c r="D13" s="23">
        <f t="shared" si="11"/>
        <v>269</v>
      </c>
      <c r="E13" s="23"/>
      <c r="F13" s="24">
        <v>2732694.0</v>
      </c>
      <c r="G13" s="24">
        <f t="shared" si="2"/>
        <v>5000000</v>
      </c>
      <c r="H13" s="24">
        <f t="shared" si="3"/>
        <v>10112931</v>
      </c>
      <c r="I13" s="24">
        <v>1.2845625E7</v>
      </c>
      <c r="J13" s="29">
        <f>5000000+I13</f>
        <v>17845625</v>
      </c>
      <c r="K13" s="26">
        <f t="shared" si="5"/>
        <v>3094556886</v>
      </c>
      <c r="L13" s="24">
        <f t="shared" ref="L13:M13" si="16">F13*C13</f>
        <v>836204364</v>
      </c>
      <c r="M13" s="24">
        <f t="shared" si="16"/>
        <v>1345000000</v>
      </c>
      <c r="N13" s="22"/>
      <c r="O13" s="23"/>
      <c r="P13" s="27"/>
      <c r="Q13" s="29"/>
    </row>
    <row r="14">
      <c r="A14" s="30" t="s">
        <v>8</v>
      </c>
      <c r="B14" s="64" t="s">
        <v>32</v>
      </c>
      <c r="C14" s="30">
        <v>1371.0</v>
      </c>
      <c r="D14" s="31">
        <f t="shared" ref="D14:D19" si="18">ROUND(C14*83%,0)</f>
        <v>1138</v>
      </c>
      <c r="E14" s="31">
        <f>SUM(C14:C19)</f>
        <v>19293</v>
      </c>
      <c r="F14" s="32">
        <v>2732694.0</v>
      </c>
      <c r="G14" s="32">
        <f t="shared" si="2"/>
        <v>75000</v>
      </c>
      <c r="H14" s="32">
        <f t="shared" si="3"/>
        <v>3221521</v>
      </c>
      <c r="I14" s="32">
        <v>5954215.0</v>
      </c>
      <c r="J14" s="33">
        <f>75000+I14</f>
        <v>6029215</v>
      </c>
      <c r="K14" s="34">
        <f t="shared" si="5"/>
        <v>4416705291</v>
      </c>
      <c r="L14" s="32">
        <f t="shared" ref="L14:M14" si="17">F14*C14</f>
        <v>3746523474</v>
      </c>
      <c r="M14" s="32">
        <f t="shared" si="17"/>
        <v>85350000</v>
      </c>
      <c r="N14" s="32">
        <f>SUM(M14:M19)</f>
        <v>27611857500</v>
      </c>
      <c r="O14" s="32">
        <f>SUM(L14:L19)</f>
        <v>52721865342</v>
      </c>
      <c r="P14" s="35">
        <f>SUM(K14:K19)</f>
        <v>62152804653</v>
      </c>
      <c r="Q14" s="36">
        <f>SUM(N14+O14+P14)</f>
        <v>142486527495</v>
      </c>
      <c r="S14" s="62">
        <f>Q14/R3</f>
        <v>0.002793880488</v>
      </c>
      <c r="T14" s="62">
        <f>S14*100</f>
        <v>0.2793880488</v>
      </c>
    </row>
    <row r="15">
      <c r="A15" s="30" t="s">
        <v>8</v>
      </c>
      <c r="B15" s="64" t="s">
        <v>33</v>
      </c>
      <c r="C15" s="30">
        <v>1602.0</v>
      </c>
      <c r="D15" s="31">
        <f t="shared" si="18"/>
        <v>1330</v>
      </c>
      <c r="E15" s="31"/>
      <c r="F15" s="32">
        <v>2732694.0</v>
      </c>
      <c r="G15" s="32">
        <f t="shared" si="2"/>
        <v>6075000</v>
      </c>
      <c r="H15" s="32">
        <f t="shared" si="3"/>
        <v>3221521</v>
      </c>
      <c r="I15" s="32">
        <v>5954215.0</v>
      </c>
      <c r="J15" s="35">
        <v>1.2029215E7</v>
      </c>
      <c r="K15" s="34">
        <f t="shared" si="5"/>
        <v>5160876642</v>
      </c>
      <c r="L15" s="32">
        <f t="shared" ref="L15:M15" si="19">F15*C15</f>
        <v>4377775788</v>
      </c>
      <c r="M15" s="32">
        <f t="shared" si="19"/>
        <v>8079750000</v>
      </c>
      <c r="N15" s="30"/>
      <c r="O15" s="31"/>
      <c r="P15" s="35"/>
      <c r="Q15" s="35"/>
    </row>
    <row r="16">
      <c r="A16" s="30" t="s">
        <v>8</v>
      </c>
      <c r="B16" s="64" t="s">
        <v>34</v>
      </c>
      <c r="C16" s="30">
        <v>77.0</v>
      </c>
      <c r="D16" s="31">
        <f t="shared" si="18"/>
        <v>64</v>
      </c>
      <c r="E16" s="31"/>
      <c r="F16" s="32">
        <v>2732694.0</v>
      </c>
      <c r="G16" s="32">
        <f t="shared" si="2"/>
        <v>8560000</v>
      </c>
      <c r="H16" s="32">
        <f t="shared" si="3"/>
        <v>3221521</v>
      </c>
      <c r="I16" s="32">
        <v>5954215.0</v>
      </c>
      <c r="J16" s="35">
        <v>1.4514215E7</v>
      </c>
      <c r="K16" s="34">
        <f t="shared" si="5"/>
        <v>248057117</v>
      </c>
      <c r="L16" s="32">
        <f t="shared" ref="L16:M16" si="20">F16*C16</f>
        <v>210417438</v>
      </c>
      <c r="M16" s="32">
        <f t="shared" si="20"/>
        <v>547840000</v>
      </c>
      <c r="N16" s="30"/>
      <c r="O16" s="31"/>
      <c r="P16" s="35"/>
      <c r="Q16" s="35"/>
    </row>
    <row r="17">
      <c r="A17" s="30" t="s">
        <v>8</v>
      </c>
      <c r="B17" s="64" t="s">
        <v>35</v>
      </c>
      <c r="C17" s="30">
        <v>10097.0</v>
      </c>
      <c r="D17" s="31">
        <f t="shared" si="18"/>
        <v>8381</v>
      </c>
      <c r="E17" s="31"/>
      <c r="F17" s="32">
        <v>2732694.0</v>
      </c>
      <c r="G17" s="32">
        <f t="shared" si="2"/>
        <v>404500</v>
      </c>
      <c r="H17" s="32">
        <f t="shared" si="3"/>
        <v>3221521</v>
      </c>
      <c r="I17" s="32">
        <v>5954215.0</v>
      </c>
      <c r="J17" s="35">
        <v>6358715.0</v>
      </c>
      <c r="K17" s="34">
        <f t="shared" si="5"/>
        <v>32527697537</v>
      </c>
      <c r="L17" s="32">
        <f t="shared" ref="L17:M17" si="21">F17*C17</f>
        <v>27592011318</v>
      </c>
      <c r="M17" s="32">
        <f t="shared" si="21"/>
        <v>3390114500</v>
      </c>
      <c r="N17" s="30"/>
      <c r="O17" s="31"/>
      <c r="P17" s="35"/>
      <c r="Q17" s="35"/>
    </row>
    <row r="18">
      <c r="A18" s="30" t="s">
        <v>8</v>
      </c>
      <c r="B18" s="64" t="s">
        <v>36</v>
      </c>
      <c r="C18" s="30">
        <v>4407.0</v>
      </c>
      <c r="D18" s="31">
        <f t="shared" si="18"/>
        <v>3658</v>
      </c>
      <c r="E18" s="31"/>
      <c r="F18" s="32">
        <v>2732694.0</v>
      </c>
      <c r="G18" s="32">
        <f t="shared" si="2"/>
        <v>3253500</v>
      </c>
      <c r="H18" s="32">
        <f t="shared" si="3"/>
        <v>3221521</v>
      </c>
      <c r="I18" s="32">
        <v>5954215.0</v>
      </c>
      <c r="J18" s="35">
        <v>9207715.0</v>
      </c>
      <c r="K18" s="34">
        <f t="shared" si="5"/>
        <v>14197243047</v>
      </c>
      <c r="L18" s="32">
        <f t="shared" ref="L18:M18" si="22">F18*C18</f>
        <v>12042982458</v>
      </c>
      <c r="M18" s="32">
        <f t="shared" si="22"/>
        <v>11901303000</v>
      </c>
      <c r="N18" s="30"/>
      <c r="O18" s="31"/>
      <c r="P18" s="35"/>
      <c r="Q18" s="35"/>
    </row>
    <row r="19">
      <c r="A19" s="30" t="s">
        <v>8</v>
      </c>
      <c r="B19" s="64" t="s">
        <v>37</v>
      </c>
      <c r="C19" s="30">
        <v>1739.0</v>
      </c>
      <c r="D19" s="31">
        <f t="shared" si="18"/>
        <v>1443</v>
      </c>
      <c r="E19" s="31"/>
      <c r="F19" s="32">
        <v>2732694.0</v>
      </c>
      <c r="G19" s="32">
        <f t="shared" si="2"/>
        <v>2500000</v>
      </c>
      <c r="H19" s="32">
        <f t="shared" si="3"/>
        <v>3221521</v>
      </c>
      <c r="I19" s="32">
        <v>5954215.0</v>
      </c>
      <c r="J19" s="37">
        <f>2500000+I19</f>
        <v>8454215</v>
      </c>
      <c r="K19" s="34">
        <f t="shared" si="5"/>
        <v>5602225019</v>
      </c>
      <c r="L19" s="32">
        <f t="shared" ref="L19:M19" si="23">F19*C19</f>
        <v>4752154866</v>
      </c>
      <c r="M19" s="32">
        <f t="shared" si="23"/>
        <v>3607500000</v>
      </c>
      <c r="N19" s="30"/>
      <c r="O19" s="31"/>
      <c r="P19" s="35"/>
      <c r="Q19" s="38"/>
    </row>
    <row r="20">
      <c r="A20" s="39" t="s">
        <v>10</v>
      </c>
      <c r="B20" s="65" t="s">
        <v>32</v>
      </c>
      <c r="C20" s="39">
        <v>80.0</v>
      </c>
      <c r="D20" s="40"/>
      <c r="E20" s="40">
        <f>SUM(C20:C25)</f>
        <v>14190</v>
      </c>
      <c r="F20" s="41">
        <v>0.0</v>
      </c>
      <c r="G20" s="41">
        <f t="shared" si="2"/>
        <v>75000</v>
      </c>
      <c r="H20" s="41">
        <f t="shared" si="3"/>
        <v>76763</v>
      </c>
      <c r="I20" s="41">
        <v>76763.0</v>
      </c>
      <c r="J20" s="42">
        <f>75000+I20</f>
        <v>151763</v>
      </c>
      <c r="K20" s="43">
        <f t="shared" si="5"/>
        <v>6141040</v>
      </c>
      <c r="L20" s="41">
        <f t="shared" ref="L20:L31" si="24">F20*C20</f>
        <v>0</v>
      </c>
      <c r="M20" s="41">
        <f t="shared" ref="M20:M31" si="25">G20*C20</f>
        <v>6000000</v>
      </c>
      <c r="N20" s="43">
        <f>SUM(M20:M25)</f>
        <v>14126712000</v>
      </c>
      <c r="O20" s="39">
        <v>0.0</v>
      </c>
      <c r="P20" s="41">
        <f>SUM(K20:K25)</f>
        <v>1089266970</v>
      </c>
      <c r="Q20" s="42">
        <f>SUM(N20+O20+P20)</f>
        <v>15215978970</v>
      </c>
      <c r="S20" s="62">
        <f>Q20/R3</f>
        <v>0.0002983554129</v>
      </c>
      <c r="T20" s="62">
        <f>S20*100</f>
        <v>0.02983554129</v>
      </c>
    </row>
    <row r="21">
      <c r="A21" s="39" t="s">
        <v>10</v>
      </c>
      <c r="B21" s="65" t="s">
        <v>33</v>
      </c>
      <c r="C21" s="39">
        <v>3333.0</v>
      </c>
      <c r="D21" s="40"/>
      <c r="E21" s="40"/>
      <c r="F21" s="41">
        <v>0.0</v>
      </c>
      <c r="G21" s="41">
        <f t="shared" si="2"/>
        <v>1207000</v>
      </c>
      <c r="H21" s="41">
        <f t="shared" si="3"/>
        <v>76763</v>
      </c>
      <c r="I21" s="41">
        <v>76763.0</v>
      </c>
      <c r="J21" s="44">
        <v>1283763.0</v>
      </c>
      <c r="K21" s="43">
        <f t="shared" si="5"/>
        <v>255851079</v>
      </c>
      <c r="L21" s="41">
        <f t="shared" si="24"/>
        <v>0</v>
      </c>
      <c r="M21" s="41">
        <f t="shared" si="25"/>
        <v>4022931000</v>
      </c>
      <c r="N21" s="39"/>
      <c r="O21" s="40"/>
      <c r="P21" s="41"/>
      <c r="Q21" s="45"/>
    </row>
    <row r="22">
      <c r="A22" s="39" t="s">
        <v>10</v>
      </c>
      <c r="B22" s="65" t="s">
        <v>34</v>
      </c>
      <c r="C22" s="39">
        <v>353.0</v>
      </c>
      <c r="D22" s="40"/>
      <c r="E22" s="40"/>
      <c r="F22" s="41">
        <v>0.0</v>
      </c>
      <c r="G22" s="41">
        <f t="shared" si="2"/>
        <v>1340000</v>
      </c>
      <c r="H22" s="41">
        <f t="shared" si="3"/>
        <v>76763</v>
      </c>
      <c r="I22" s="41">
        <v>76763.0</v>
      </c>
      <c r="J22" s="44">
        <v>1416763.0</v>
      </c>
      <c r="K22" s="43">
        <f t="shared" si="5"/>
        <v>27097339</v>
      </c>
      <c r="L22" s="41">
        <f t="shared" si="24"/>
        <v>0</v>
      </c>
      <c r="M22" s="41">
        <f t="shared" si="25"/>
        <v>473020000</v>
      </c>
      <c r="N22" s="39"/>
      <c r="O22" s="40"/>
      <c r="P22" s="41"/>
      <c r="Q22" s="44"/>
    </row>
    <row r="23">
      <c r="A23" s="39" t="s">
        <v>10</v>
      </c>
      <c r="B23" s="65" t="s">
        <v>35</v>
      </c>
      <c r="C23" s="39">
        <v>1210.0</v>
      </c>
      <c r="D23" s="40"/>
      <c r="E23" s="40"/>
      <c r="F23" s="41">
        <v>0.0</v>
      </c>
      <c r="G23" s="41">
        <f t="shared" si="2"/>
        <v>296500</v>
      </c>
      <c r="H23" s="41">
        <f t="shared" si="3"/>
        <v>76763</v>
      </c>
      <c r="I23" s="41">
        <v>76763.0</v>
      </c>
      <c r="J23" s="44">
        <v>373263.0</v>
      </c>
      <c r="K23" s="43">
        <f t="shared" si="5"/>
        <v>92883230</v>
      </c>
      <c r="L23" s="41">
        <f t="shared" si="24"/>
        <v>0</v>
      </c>
      <c r="M23" s="41">
        <f t="shared" si="25"/>
        <v>358765000</v>
      </c>
      <c r="N23" s="39"/>
      <c r="O23" s="40"/>
      <c r="P23" s="41"/>
      <c r="Q23" s="44"/>
    </row>
    <row r="24">
      <c r="A24" s="39" t="s">
        <v>10</v>
      </c>
      <c r="B24" s="65" t="s">
        <v>36</v>
      </c>
      <c r="C24" s="39">
        <v>8666.0</v>
      </c>
      <c r="D24" s="40"/>
      <c r="E24" s="40"/>
      <c r="F24" s="41">
        <v>0.0</v>
      </c>
      <c r="G24" s="41">
        <f t="shared" si="2"/>
        <v>1006000</v>
      </c>
      <c r="H24" s="41">
        <f t="shared" si="3"/>
        <v>76763</v>
      </c>
      <c r="I24" s="41">
        <v>76763.0</v>
      </c>
      <c r="J24" s="44">
        <v>1082763.0</v>
      </c>
      <c r="K24" s="43">
        <f t="shared" si="5"/>
        <v>665228158</v>
      </c>
      <c r="L24" s="41">
        <f t="shared" si="24"/>
        <v>0</v>
      </c>
      <c r="M24" s="41">
        <f t="shared" si="25"/>
        <v>8717996000</v>
      </c>
      <c r="N24" s="39"/>
      <c r="O24" s="40"/>
      <c r="P24" s="41"/>
      <c r="Q24" s="44"/>
    </row>
    <row r="25">
      <c r="A25" s="39" t="s">
        <v>10</v>
      </c>
      <c r="B25" s="65" t="s">
        <v>37</v>
      </c>
      <c r="C25" s="39">
        <v>548.0</v>
      </c>
      <c r="D25" s="40"/>
      <c r="E25" s="40"/>
      <c r="F25" s="41">
        <v>0.0</v>
      </c>
      <c r="G25" s="41">
        <f t="shared" si="2"/>
        <v>1000000</v>
      </c>
      <c r="H25" s="41">
        <f t="shared" si="3"/>
        <v>76763</v>
      </c>
      <c r="I25" s="41">
        <v>76763.0</v>
      </c>
      <c r="J25" s="46">
        <f>1000000+I25</f>
        <v>1076763</v>
      </c>
      <c r="K25" s="43">
        <f t="shared" si="5"/>
        <v>42066124</v>
      </c>
      <c r="L25" s="41">
        <f t="shared" si="24"/>
        <v>0</v>
      </c>
      <c r="M25" s="41">
        <f t="shared" si="25"/>
        <v>548000000</v>
      </c>
      <c r="N25" s="39"/>
      <c r="O25" s="40"/>
      <c r="P25" s="41"/>
      <c r="Q25" s="46"/>
    </row>
    <row r="26">
      <c r="A26" s="47" t="s">
        <v>12</v>
      </c>
      <c r="B26" s="66" t="s">
        <v>32</v>
      </c>
      <c r="C26" s="47">
        <v>43.0</v>
      </c>
      <c r="D26" s="47"/>
      <c r="E26" s="47">
        <f>SUM(C26:C31)</f>
        <v>513</v>
      </c>
      <c r="F26" s="48">
        <v>5465389.0</v>
      </c>
      <c r="G26" s="48">
        <f t="shared" si="2"/>
        <v>300000</v>
      </c>
      <c r="H26" s="48">
        <f t="shared" si="3"/>
        <v>877082</v>
      </c>
      <c r="I26" s="48">
        <v>6342471.0</v>
      </c>
      <c r="J26" s="49">
        <f>300000+I26</f>
        <v>6642471</v>
      </c>
      <c r="K26" s="50">
        <f t="shared" si="5"/>
        <v>37714526</v>
      </c>
      <c r="L26" s="48">
        <f t="shared" si="24"/>
        <v>235011727</v>
      </c>
      <c r="M26" s="48">
        <f t="shared" si="25"/>
        <v>12900000</v>
      </c>
      <c r="N26" s="48">
        <f>SUM(M26:M31)</f>
        <v>2351124568</v>
      </c>
      <c r="O26" s="48">
        <f>SUM(L26:L31)</f>
        <v>2803744557</v>
      </c>
      <c r="P26" s="51">
        <f>SUM(K26:K31)</f>
        <v>449943066</v>
      </c>
      <c r="Q26" s="49">
        <f>SUM(N26+O26+P26)</f>
        <v>5604812191</v>
      </c>
      <c r="S26" s="62">
        <f>Q26/R3</f>
        <v>0.0001098993406</v>
      </c>
      <c r="T26" s="62">
        <f>S26*100</f>
        <v>0.01098993406</v>
      </c>
    </row>
    <row r="27">
      <c r="A27" s="47" t="s">
        <v>12</v>
      </c>
      <c r="B27" s="66" t="s">
        <v>33</v>
      </c>
      <c r="C27" s="47">
        <v>32.0</v>
      </c>
      <c r="D27" s="52"/>
      <c r="E27" s="52"/>
      <c r="F27" s="48">
        <v>5465389.0</v>
      </c>
      <c r="G27" s="48">
        <f t="shared" si="2"/>
        <v>18402611</v>
      </c>
      <c r="H27" s="48">
        <f t="shared" si="3"/>
        <v>877082</v>
      </c>
      <c r="I27" s="48">
        <v>6342471.0</v>
      </c>
      <c r="J27" s="53">
        <v>2.4745082E7</v>
      </c>
      <c r="K27" s="50">
        <f t="shared" si="5"/>
        <v>28066624</v>
      </c>
      <c r="L27" s="48">
        <f t="shared" si="24"/>
        <v>174892448</v>
      </c>
      <c r="M27" s="48">
        <f t="shared" si="25"/>
        <v>588883552</v>
      </c>
      <c r="N27" s="47"/>
      <c r="O27" s="52"/>
      <c r="P27" s="51"/>
      <c r="Q27" s="51"/>
    </row>
    <row r="28">
      <c r="A28" s="47" t="s">
        <v>12</v>
      </c>
      <c r="B28" s="66" t="s">
        <v>34</v>
      </c>
      <c r="C28" s="47">
        <v>5.0</v>
      </c>
      <c r="D28" s="52"/>
      <c r="E28" s="52"/>
      <c r="F28" s="48">
        <v>5465389.0</v>
      </c>
      <c r="G28" s="48">
        <f t="shared" si="2"/>
        <v>25857611</v>
      </c>
      <c r="H28" s="48">
        <f t="shared" si="3"/>
        <v>877082</v>
      </c>
      <c r="I28" s="48">
        <v>6342471.0</v>
      </c>
      <c r="J28" s="53">
        <v>3.2200082E7</v>
      </c>
      <c r="K28" s="50">
        <f t="shared" si="5"/>
        <v>4385410</v>
      </c>
      <c r="L28" s="48">
        <f t="shared" si="24"/>
        <v>27326945</v>
      </c>
      <c r="M28" s="48">
        <f t="shared" si="25"/>
        <v>129288055</v>
      </c>
      <c r="N28" s="47"/>
      <c r="O28" s="52"/>
      <c r="P28" s="51"/>
      <c r="Q28" s="51"/>
    </row>
    <row r="29">
      <c r="A29" s="47" t="s">
        <v>12</v>
      </c>
      <c r="B29" s="66" t="s">
        <v>35</v>
      </c>
      <c r="C29" s="47">
        <v>253.0</v>
      </c>
      <c r="D29" s="52"/>
      <c r="E29" s="52"/>
      <c r="F29" s="48">
        <v>5465389.0</v>
      </c>
      <c r="G29" s="48">
        <f t="shared" si="2"/>
        <v>932111</v>
      </c>
      <c r="H29" s="48">
        <f t="shared" si="3"/>
        <v>877082</v>
      </c>
      <c r="I29" s="48">
        <v>6342471.0</v>
      </c>
      <c r="J29" s="53">
        <v>7274582.0</v>
      </c>
      <c r="K29" s="50">
        <f t="shared" si="5"/>
        <v>221901746</v>
      </c>
      <c r="L29" s="48">
        <f t="shared" si="24"/>
        <v>1382743417</v>
      </c>
      <c r="M29" s="48">
        <f t="shared" si="25"/>
        <v>235824083</v>
      </c>
      <c r="N29" s="47"/>
      <c r="O29" s="52"/>
      <c r="P29" s="51"/>
      <c r="Q29" s="51"/>
    </row>
    <row r="30">
      <c r="A30" s="47" t="s">
        <v>12</v>
      </c>
      <c r="B30" s="66" t="s">
        <v>36</v>
      </c>
      <c r="C30" s="47">
        <v>98.0</v>
      </c>
      <c r="D30" s="52"/>
      <c r="E30" s="52"/>
      <c r="F30" s="48">
        <v>5465389.0</v>
      </c>
      <c r="G30" s="48">
        <f t="shared" si="2"/>
        <v>9941111</v>
      </c>
      <c r="H30" s="48">
        <f t="shared" si="3"/>
        <v>877082</v>
      </c>
      <c r="I30" s="48">
        <v>6342471.0</v>
      </c>
      <c r="J30" s="53">
        <v>1.6283582E7</v>
      </c>
      <c r="K30" s="50">
        <f t="shared" si="5"/>
        <v>85954036</v>
      </c>
      <c r="L30" s="48">
        <f t="shared" si="24"/>
        <v>535608122</v>
      </c>
      <c r="M30" s="48">
        <f t="shared" si="25"/>
        <v>974228878</v>
      </c>
      <c r="N30" s="47"/>
      <c r="O30" s="52"/>
      <c r="P30" s="51"/>
      <c r="Q30" s="51"/>
    </row>
    <row r="31">
      <c r="A31" s="47" t="s">
        <v>12</v>
      </c>
      <c r="B31" s="66" t="s">
        <v>37</v>
      </c>
      <c r="C31" s="47">
        <v>82.0</v>
      </c>
      <c r="D31" s="52"/>
      <c r="E31" s="52"/>
      <c r="F31" s="48">
        <v>5465389.0</v>
      </c>
      <c r="G31" s="48">
        <f t="shared" si="2"/>
        <v>5000000</v>
      </c>
      <c r="H31" s="48">
        <f t="shared" si="3"/>
        <v>877082</v>
      </c>
      <c r="I31" s="48">
        <v>6342471.0</v>
      </c>
      <c r="J31" s="54">
        <f>5000000+I31</f>
        <v>11342471</v>
      </c>
      <c r="K31" s="50">
        <f t="shared" si="5"/>
        <v>71920724</v>
      </c>
      <c r="L31" s="48">
        <f t="shared" si="24"/>
        <v>448161898</v>
      </c>
      <c r="M31" s="48">
        <f t="shared" si="25"/>
        <v>410000000</v>
      </c>
      <c r="N31" s="47"/>
      <c r="O31" s="52"/>
      <c r="P31" s="51"/>
      <c r="Q31" s="54"/>
    </row>
    <row r="32">
      <c r="B32" s="67"/>
      <c r="R32" s="2" t="s">
        <v>42</v>
      </c>
      <c r="S32" s="62">
        <f>SUM(S2:S31)</f>
        <v>0.004343673031</v>
      </c>
      <c r="T32" s="68">
        <f>S32*100</f>
        <v>0.4343673031</v>
      </c>
    </row>
    <row r="33">
      <c r="B33" s="67"/>
      <c r="S33" s="69"/>
    </row>
    <row r="34">
      <c r="B34" s="67"/>
    </row>
    <row r="35">
      <c r="B35" s="67"/>
      <c r="S35" s="70">
        <v>0.0043</v>
      </c>
    </row>
    <row r="36">
      <c r="B36" s="67"/>
    </row>
    <row r="37">
      <c r="B37" s="67"/>
    </row>
    <row r="38">
      <c r="B38" s="67"/>
    </row>
    <row r="39">
      <c r="B39" s="67"/>
    </row>
    <row r="40">
      <c r="B40" s="67"/>
    </row>
    <row r="41">
      <c r="B41" s="67"/>
    </row>
    <row r="42">
      <c r="B42" s="67"/>
    </row>
    <row r="43">
      <c r="B43" s="67"/>
    </row>
    <row r="44">
      <c r="B44" s="67"/>
    </row>
    <row r="45">
      <c r="B45" s="67"/>
    </row>
    <row r="46">
      <c r="B46" s="67"/>
    </row>
    <row r="47">
      <c r="B47" s="67"/>
    </row>
    <row r="48">
      <c r="B48" s="67"/>
    </row>
    <row r="49">
      <c r="B49" s="67"/>
    </row>
    <row r="50">
      <c r="B50" s="67"/>
    </row>
    <row r="51">
      <c r="B51" s="67"/>
    </row>
    <row r="52">
      <c r="B52" s="67"/>
    </row>
    <row r="53">
      <c r="B53" s="67"/>
    </row>
    <row r="54">
      <c r="B54" s="67"/>
    </row>
    <row r="55">
      <c r="B55" s="67"/>
    </row>
    <row r="56">
      <c r="B56" s="67"/>
    </row>
    <row r="57">
      <c r="B57" s="67"/>
    </row>
    <row r="58">
      <c r="B58" s="67"/>
    </row>
    <row r="59">
      <c r="B59" s="67"/>
    </row>
    <row r="60">
      <c r="B60" s="67"/>
    </row>
    <row r="61">
      <c r="B61" s="67"/>
    </row>
    <row r="62">
      <c r="B62" s="67"/>
    </row>
    <row r="63">
      <c r="B63" s="67"/>
    </row>
    <row r="64">
      <c r="B64" s="67"/>
    </row>
    <row r="65">
      <c r="B65" s="67"/>
    </row>
    <row r="66">
      <c r="B66" s="67"/>
    </row>
    <row r="67">
      <c r="B67" s="67"/>
    </row>
    <row r="68">
      <c r="B68" s="67"/>
    </row>
    <row r="69">
      <c r="B69" s="67"/>
    </row>
    <row r="70">
      <c r="B70" s="67"/>
    </row>
    <row r="71">
      <c r="B71" s="67"/>
    </row>
    <row r="72">
      <c r="B72" s="67"/>
    </row>
    <row r="73">
      <c r="B73" s="67"/>
    </row>
    <row r="74">
      <c r="B74" s="67"/>
    </row>
    <row r="75">
      <c r="B75" s="67"/>
    </row>
    <row r="76">
      <c r="B76" s="67"/>
    </row>
    <row r="77">
      <c r="B77" s="67"/>
    </row>
    <row r="78">
      <c r="B78" s="67"/>
    </row>
    <row r="79">
      <c r="B79" s="67"/>
    </row>
    <row r="80">
      <c r="B80" s="67"/>
    </row>
    <row r="81">
      <c r="B81" s="67"/>
    </row>
    <row r="82">
      <c r="B82" s="67"/>
    </row>
    <row r="83">
      <c r="B83" s="67"/>
    </row>
    <row r="84">
      <c r="B84" s="67"/>
    </row>
    <row r="85">
      <c r="B85" s="67"/>
    </row>
    <row r="86">
      <c r="B86" s="67"/>
    </row>
    <row r="87">
      <c r="B87" s="67"/>
    </row>
    <row r="88">
      <c r="B88" s="67"/>
    </row>
    <row r="89">
      <c r="B89" s="67"/>
    </row>
    <row r="90">
      <c r="B90" s="67"/>
    </row>
    <row r="91">
      <c r="B91" s="67"/>
    </row>
    <row r="92">
      <c r="B92" s="67"/>
    </row>
    <row r="93">
      <c r="B93" s="67"/>
    </row>
    <row r="94">
      <c r="B94" s="67"/>
    </row>
    <row r="95">
      <c r="B95" s="67"/>
    </row>
    <row r="96">
      <c r="B96" s="67"/>
    </row>
    <row r="97">
      <c r="B97" s="67"/>
    </row>
    <row r="98">
      <c r="B98" s="67"/>
    </row>
    <row r="99">
      <c r="B99" s="67"/>
    </row>
    <row r="100">
      <c r="B100" s="67"/>
    </row>
    <row r="101">
      <c r="B101" s="67"/>
    </row>
    <row r="102">
      <c r="B102" s="67"/>
    </row>
    <row r="103">
      <c r="B103" s="67"/>
    </row>
    <row r="104">
      <c r="B104" s="67"/>
    </row>
    <row r="105">
      <c r="B105" s="67"/>
    </row>
    <row r="106">
      <c r="B106" s="67"/>
    </row>
    <row r="107">
      <c r="B107" s="67"/>
    </row>
    <row r="108">
      <c r="B108" s="67"/>
    </row>
    <row r="109">
      <c r="B109" s="67"/>
    </row>
    <row r="110">
      <c r="B110" s="67"/>
    </row>
    <row r="111">
      <c r="B111" s="67"/>
    </row>
    <row r="112">
      <c r="B112" s="67"/>
    </row>
    <row r="113">
      <c r="B113" s="67"/>
    </row>
    <row r="114">
      <c r="B114" s="67"/>
    </row>
    <row r="115">
      <c r="B115" s="67"/>
    </row>
    <row r="116">
      <c r="B116" s="67"/>
    </row>
    <row r="117">
      <c r="B117" s="67"/>
    </row>
    <row r="118">
      <c r="B118" s="67"/>
    </row>
    <row r="119">
      <c r="B119" s="67"/>
    </row>
    <row r="120">
      <c r="B120" s="67"/>
    </row>
    <row r="121">
      <c r="B121" s="67"/>
    </row>
    <row r="122">
      <c r="B122" s="67"/>
    </row>
    <row r="123">
      <c r="B123" s="67"/>
    </row>
    <row r="124">
      <c r="B124" s="67"/>
    </row>
    <row r="125">
      <c r="B125" s="67"/>
    </row>
    <row r="126">
      <c r="B126" s="67"/>
    </row>
    <row r="127">
      <c r="B127" s="67"/>
    </row>
    <row r="128">
      <c r="B128" s="67"/>
    </row>
    <row r="129">
      <c r="B129" s="67"/>
    </row>
    <row r="130">
      <c r="B130" s="67"/>
    </row>
    <row r="131">
      <c r="B131" s="67"/>
    </row>
    <row r="132">
      <c r="B132" s="67"/>
    </row>
    <row r="133">
      <c r="B133" s="67"/>
    </row>
    <row r="134">
      <c r="B134" s="67"/>
    </row>
    <row r="135">
      <c r="B135" s="67"/>
    </row>
    <row r="136">
      <c r="B136" s="67"/>
    </row>
    <row r="137">
      <c r="B137" s="67"/>
    </row>
    <row r="138">
      <c r="B138" s="67"/>
    </row>
    <row r="139">
      <c r="B139" s="67"/>
    </row>
    <row r="140">
      <c r="B140" s="67"/>
    </row>
    <row r="141">
      <c r="B141" s="67"/>
    </row>
    <row r="142">
      <c r="B142" s="67"/>
    </row>
    <row r="143">
      <c r="B143" s="67"/>
    </row>
    <row r="144">
      <c r="B144" s="67"/>
    </row>
    <row r="145">
      <c r="B145" s="67"/>
    </row>
    <row r="146">
      <c r="B146" s="67"/>
    </row>
    <row r="147">
      <c r="B147" s="67"/>
    </row>
    <row r="148">
      <c r="B148" s="67"/>
    </row>
    <row r="149">
      <c r="B149" s="67"/>
    </row>
    <row r="150">
      <c r="B150" s="67"/>
    </row>
    <row r="151">
      <c r="B151" s="67"/>
    </row>
    <row r="152">
      <c r="B152" s="67"/>
    </row>
    <row r="153">
      <c r="B153" s="67"/>
    </row>
    <row r="154">
      <c r="B154" s="67"/>
    </row>
    <row r="155">
      <c r="B155" s="67"/>
    </row>
    <row r="156">
      <c r="B156" s="67"/>
    </row>
    <row r="157">
      <c r="B157" s="67"/>
    </row>
    <row r="158">
      <c r="B158" s="67"/>
    </row>
    <row r="159">
      <c r="B159" s="67"/>
    </row>
    <row r="160">
      <c r="B160" s="67"/>
    </row>
    <row r="161">
      <c r="B161" s="67"/>
    </row>
    <row r="162">
      <c r="B162" s="67"/>
    </row>
    <row r="163">
      <c r="B163" s="67"/>
    </row>
    <row r="164">
      <c r="B164" s="67"/>
    </row>
    <row r="165">
      <c r="B165" s="67"/>
    </row>
    <row r="166">
      <c r="B166" s="67"/>
    </row>
    <row r="167">
      <c r="B167" s="67"/>
    </row>
    <row r="168">
      <c r="B168" s="67"/>
    </row>
    <row r="169">
      <c r="B169" s="67"/>
    </row>
    <row r="170">
      <c r="B170" s="67"/>
    </row>
    <row r="171">
      <c r="B171" s="67"/>
    </row>
    <row r="172">
      <c r="B172" s="67"/>
    </row>
    <row r="173">
      <c r="B173" s="67"/>
    </row>
    <row r="174">
      <c r="B174" s="67"/>
    </row>
    <row r="175">
      <c r="B175" s="67"/>
    </row>
    <row r="176">
      <c r="B176" s="67"/>
    </row>
    <row r="177">
      <c r="B177" s="67"/>
    </row>
    <row r="178">
      <c r="B178" s="67"/>
    </row>
    <row r="179">
      <c r="B179" s="67"/>
    </row>
    <row r="180">
      <c r="B180" s="67"/>
    </row>
    <row r="181">
      <c r="B181" s="67"/>
    </row>
    <row r="182">
      <c r="B182" s="67"/>
    </row>
    <row r="183">
      <c r="B183" s="67"/>
    </row>
    <row r="184">
      <c r="B184" s="67"/>
    </row>
    <row r="185">
      <c r="B185" s="67"/>
    </row>
    <row r="186">
      <c r="B186" s="67"/>
    </row>
    <row r="187">
      <c r="B187" s="67"/>
    </row>
    <row r="188">
      <c r="B188" s="67"/>
    </row>
    <row r="189">
      <c r="B189" s="67"/>
    </row>
    <row r="190">
      <c r="B190" s="67"/>
    </row>
    <row r="191">
      <c r="B191" s="67"/>
    </row>
    <row r="192">
      <c r="B192" s="67"/>
    </row>
    <row r="193">
      <c r="B193" s="67"/>
    </row>
    <row r="194">
      <c r="B194" s="67"/>
    </row>
    <row r="195">
      <c r="B195" s="67"/>
    </row>
    <row r="196">
      <c r="B196" s="67"/>
    </row>
    <row r="197">
      <c r="B197" s="67"/>
    </row>
    <row r="198">
      <c r="B198" s="67"/>
    </row>
    <row r="199">
      <c r="B199" s="67"/>
    </row>
    <row r="200">
      <c r="B200" s="67"/>
    </row>
    <row r="201">
      <c r="B201" s="67"/>
    </row>
    <row r="202">
      <c r="B202" s="67"/>
    </row>
    <row r="203">
      <c r="B203" s="67"/>
    </row>
    <row r="204">
      <c r="B204" s="67"/>
    </row>
    <row r="205">
      <c r="B205" s="67"/>
    </row>
    <row r="206">
      <c r="B206" s="67"/>
    </row>
    <row r="207">
      <c r="B207" s="67"/>
    </row>
    <row r="208">
      <c r="B208" s="67"/>
    </row>
    <row r="209">
      <c r="B209" s="67"/>
    </row>
    <row r="210">
      <c r="B210" s="67"/>
    </row>
    <row r="211">
      <c r="B211" s="67"/>
    </row>
    <row r="212">
      <c r="B212" s="67"/>
    </row>
    <row r="213">
      <c r="B213" s="67"/>
    </row>
    <row r="214">
      <c r="B214" s="67"/>
    </row>
    <row r="215">
      <c r="B215" s="67"/>
    </row>
    <row r="216">
      <c r="B216" s="67"/>
    </row>
    <row r="217">
      <c r="B217" s="67"/>
    </row>
    <row r="218">
      <c r="B218" s="67"/>
    </row>
    <row r="219">
      <c r="B219" s="67"/>
    </row>
    <row r="220">
      <c r="B220" s="67"/>
    </row>
    <row r="221">
      <c r="B221" s="67"/>
    </row>
    <row r="222">
      <c r="B222" s="67"/>
    </row>
    <row r="223">
      <c r="B223" s="67"/>
    </row>
    <row r="224">
      <c r="B224" s="67"/>
    </row>
    <row r="225">
      <c r="B225" s="67"/>
    </row>
    <row r="226">
      <c r="B226" s="67"/>
    </row>
    <row r="227">
      <c r="B227" s="67"/>
    </row>
    <row r="228">
      <c r="B228" s="67"/>
    </row>
    <row r="229">
      <c r="B229" s="67"/>
    </row>
    <row r="230">
      <c r="B230" s="67"/>
    </row>
    <row r="231">
      <c r="B231" s="67"/>
    </row>
    <row r="232">
      <c r="B232" s="67"/>
    </row>
    <row r="233">
      <c r="B233" s="67"/>
    </row>
    <row r="234">
      <c r="B234" s="67"/>
    </row>
    <row r="235">
      <c r="B235" s="67"/>
    </row>
    <row r="236">
      <c r="B236" s="67"/>
    </row>
    <row r="237">
      <c r="B237" s="67"/>
    </row>
    <row r="238">
      <c r="B238" s="67"/>
    </row>
    <row r="239">
      <c r="B239" s="67"/>
    </row>
    <row r="240">
      <c r="B240" s="67"/>
    </row>
    <row r="241">
      <c r="B241" s="67"/>
    </row>
    <row r="242">
      <c r="B242" s="67"/>
    </row>
    <row r="243">
      <c r="B243" s="67"/>
    </row>
    <row r="244">
      <c r="B244" s="67"/>
    </row>
    <row r="245">
      <c r="B245" s="67"/>
    </row>
    <row r="246">
      <c r="B246" s="67"/>
    </row>
    <row r="247">
      <c r="B247" s="67"/>
    </row>
    <row r="248">
      <c r="B248" s="67"/>
    </row>
    <row r="249">
      <c r="B249" s="67"/>
    </row>
    <row r="250">
      <c r="B250" s="67"/>
    </row>
    <row r="251">
      <c r="B251" s="67"/>
    </row>
    <row r="252">
      <c r="B252" s="67"/>
    </row>
    <row r="253">
      <c r="B253" s="67"/>
    </row>
    <row r="254">
      <c r="B254" s="67"/>
    </row>
    <row r="255">
      <c r="B255" s="67"/>
    </row>
    <row r="256">
      <c r="B256" s="67"/>
    </row>
    <row r="257">
      <c r="B257" s="67"/>
    </row>
    <row r="258">
      <c r="B258" s="67"/>
    </row>
    <row r="259">
      <c r="B259" s="67"/>
    </row>
    <row r="260">
      <c r="B260" s="67"/>
    </row>
    <row r="261">
      <c r="B261" s="67"/>
    </row>
    <row r="262">
      <c r="B262" s="67"/>
    </row>
    <row r="263">
      <c r="B263" s="67"/>
    </row>
    <row r="264">
      <c r="B264" s="67"/>
    </row>
    <row r="265">
      <c r="B265" s="67"/>
    </row>
    <row r="266">
      <c r="B266" s="67"/>
    </row>
    <row r="267">
      <c r="B267" s="67"/>
    </row>
    <row r="268">
      <c r="B268" s="67"/>
    </row>
    <row r="269">
      <c r="B269" s="67"/>
    </row>
    <row r="270">
      <c r="B270" s="67"/>
    </row>
    <row r="271">
      <c r="B271" s="67"/>
    </row>
    <row r="272">
      <c r="B272" s="67"/>
    </row>
    <row r="273">
      <c r="B273" s="67"/>
    </row>
    <row r="274">
      <c r="B274" s="67"/>
    </row>
    <row r="275">
      <c r="B275" s="67"/>
    </row>
    <row r="276">
      <c r="B276" s="67"/>
    </row>
    <row r="277">
      <c r="B277" s="67"/>
    </row>
    <row r="278">
      <c r="B278" s="67"/>
    </row>
    <row r="279">
      <c r="B279" s="67"/>
    </row>
    <row r="280">
      <c r="B280" s="67"/>
    </row>
    <row r="281">
      <c r="B281" s="67"/>
    </row>
    <row r="282">
      <c r="B282" s="67"/>
    </row>
    <row r="283">
      <c r="B283" s="67"/>
    </row>
    <row r="284">
      <c r="B284" s="67"/>
    </row>
    <row r="285">
      <c r="B285" s="67"/>
    </row>
    <row r="286">
      <c r="B286" s="67"/>
    </row>
    <row r="287">
      <c r="B287" s="67"/>
    </row>
    <row r="288">
      <c r="B288" s="67"/>
    </row>
    <row r="289">
      <c r="B289" s="67"/>
    </row>
    <row r="290">
      <c r="B290" s="67"/>
    </row>
    <row r="291">
      <c r="B291" s="67"/>
    </row>
    <row r="292">
      <c r="B292" s="67"/>
    </row>
    <row r="293">
      <c r="B293" s="67"/>
    </row>
    <row r="294">
      <c r="B294" s="67"/>
    </row>
    <row r="295">
      <c r="B295" s="67"/>
    </row>
    <row r="296">
      <c r="B296" s="67"/>
    </row>
    <row r="297">
      <c r="B297" s="67"/>
    </row>
    <row r="298">
      <c r="B298" s="67"/>
    </row>
    <row r="299">
      <c r="B299" s="67"/>
    </row>
    <row r="300">
      <c r="B300" s="67"/>
    </row>
    <row r="301">
      <c r="B301" s="67"/>
    </row>
    <row r="302">
      <c r="B302" s="67"/>
    </row>
    <row r="303">
      <c r="B303" s="67"/>
    </row>
    <row r="304">
      <c r="B304" s="67"/>
    </row>
    <row r="305">
      <c r="B305" s="67"/>
    </row>
    <row r="306">
      <c r="B306" s="67"/>
    </row>
    <row r="307">
      <c r="B307" s="67"/>
    </row>
    <row r="308">
      <c r="B308" s="67"/>
    </row>
    <row r="309">
      <c r="B309" s="67"/>
    </row>
    <row r="310">
      <c r="B310" s="67"/>
    </row>
    <row r="311">
      <c r="B311" s="67"/>
    </row>
    <row r="312">
      <c r="B312" s="67"/>
    </row>
    <row r="313">
      <c r="B313" s="67"/>
    </row>
    <row r="314">
      <c r="B314" s="67"/>
    </row>
    <row r="315">
      <c r="B315" s="67"/>
    </row>
    <row r="316">
      <c r="B316" s="67"/>
    </row>
    <row r="317">
      <c r="B317" s="67"/>
    </row>
    <row r="318">
      <c r="B318" s="67"/>
    </row>
    <row r="319">
      <c r="B319" s="67"/>
    </row>
    <row r="320">
      <c r="B320" s="67"/>
    </row>
    <row r="321">
      <c r="B321" s="67"/>
    </row>
    <row r="322">
      <c r="B322" s="67"/>
    </row>
    <row r="323">
      <c r="B323" s="67"/>
    </row>
    <row r="324">
      <c r="B324" s="67"/>
    </row>
    <row r="325">
      <c r="B325" s="67"/>
    </row>
    <row r="326">
      <c r="B326" s="67"/>
    </row>
    <row r="327">
      <c r="B327" s="67"/>
    </row>
    <row r="328">
      <c r="B328" s="67"/>
    </row>
    <row r="329">
      <c r="B329" s="67"/>
    </row>
    <row r="330">
      <c r="B330" s="67"/>
    </row>
    <row r="331">
      <c r="B331" s="67"/>
    </row>
    <row r="332">
      <c r="B332" s="67"/>
    </row>
    <row r="333">
      <c r="B333" s="67"/>
    </row>
    <row r="334">
      <c r="B334" s="67"/>
    </row>
    <row r="335">
      <c r="B335" s="67"/>
    </row>
    <row r="336">
      <c r="B336" s="67"/>
    </row>
    <row r="337">
      <c r="B337" s="67"/>
    </row>
    <row r="338">
      <c r="B338" s="67"/>
    </row>
    <row r="339">
      <c r="B339" s="67"/>
    </row>
    <row r="340">
      <c r="B340" s="67"/>
    </row>
    <row r="341">
      <c r="B341" s="67"/>
    </row>
    <row r="342">
      <c r="B342" s="67"/>
    </row>
    <row r="343">
      <c r="B343" s="67"/>
    </row>
    <row r="344">
      <c r="B344" s="67"/>
    </row>
    <row r="345">
      <c r="B345" s="67"/>
    </row>
    <row r="346">
      <c r="B346" s="67"/>
    </row>
    <row r="347">
      <c r="B347" s="67"/>
    </row>
    <row r="348">
      <c r="B348" s="67"/>
    </row>
    <row r="349">
      <c r="B349" s="67"/>
    </row>
    <row r="350">
      <c r="B350" s="67"/>
    </row>
    <row r="351">
      <c r="B351" s="67"/>
    </row>
    <row r="352">
      <c r="B352" s="67"/>
    </row>
    <row r="353">
      <c r="B353" s="67"/>
    </row>
    <row r="354">
      <c r="B354" s="67"/>
    </row>
    <row r="355">
      <c r="B355" s="67"/>
    </row>
    <row r="356">
      <c r="B356" s="67"/>
    </row>
    <row r="357">
      <c r="B357" s="67"/>
    </row>
    <row r="358">
      <c r="B358" s="67"/>
    </row>
    <row r="359">
      <c r="B359" s="67"/>
    </row>
    <row r="360">
      <c r="B360" s="67"/>
    </row>
    <row r="361">
      <c r="B361" s="67"/>
    </row>
    <row r="362">
      <c r="B362" s="67"/>
    </row>
    <row r="363">
      <c r="B363" s="67"/>
    </row>
    <row r="364">
      <c r="B364" s="67"/>
    </row>
    <row r="365">
      <c r="B365" s="67"/>
    </row>
    <row r="366">
      <c r="B366" s="67"/>
    </row>
    <row r="367">
      <c r="B367" s="67"/>
    </row>
    <row r="368">
      <c r="B368" s="67"/>
    </row>
    <row r="369">
      <c r="B369" s="67"/>
    </row>
    <row r="370">
      <c r="B370" s="67"/>
    </row>
    <row r="371">
      <c r="B371" s="67"/>
    </row>
    <row r="372">
      <c r="B372" s="67"/>
    </row>
    <row r="373">
      <c r="B373" s="67"/>
    </row>
    <row r="374">
      <c r="B374" s="67"/>
    </row>
    <row r="375">
      <c r="B375" s="67"/>
    </row>
    <row r="376">
      <c r="B376" s="67"/>
    </row>
    <row r="377">
      <c r="B377" s="67"/>
    </row>
    <row r="378">
      <c r="B378" s="67"/>
    </row>
    <row r="379">
      <c r="B379" s="67"/>
    </row>
    <row r="380">
      <c r="B380" s="67"/>
    </row>
    <row r="381">
      <c r="B381" s="67"/>
    </row>
    <row r="382">
      <c r="B382" s="67"/>
    </row>
    <row r="383">
      <c r="B383" s="67"/>
    </row>
    <row r="384">
      <c r="B384" s="67"/>
    </row>
    <row r="385">
      <c r="B385" s="67"/>
    </row>
    <row r="386">
      <c r="B386" s="67"/>
    </row>
    <row r="387">
      <c r="B387" s="67"/>
    </row>
    <row r="388">
      <c r="B388" s="67"/>
    </row>
    <row r="389">
      <c r="B389" s="67"/>
    </row>
    <row r="390">
      <c r="B390" s="67"/>
    </row>
    <row r="391">
      <c r="B391" s="67"/>
    </row>
    <row r="392">
      <c r="B392" s="67"/>
    </row>
    <row r="393">
      <c r="B393" s="67"/>
    </row>
    <row r="394">
      <c r="B394" s="67"/>
    </row>
    <row r="395">
      <c r="B395" s="67"/>
    </row>
    <row r="396">
      <c r="B396" s="67"/>
    </row>
    <row r="397">
      <c r="B397" s="67"/>
    </row>
    <row r="398">
      <c r="B398" s="67"/>
    </row>
    <row r="399">
      <c r="B399" s="67"/>
    </row>
    <row r="400">
      <c r="B400" s="67"/>
    </row>
    <row r="401">
      <c r="B401" s="67"/>
    </row>
    <row r="402">
      <c r="B402" s="67"/>
    </row>
    <row r="403">
      <c r="B403" s="67"/>
    </row>
    <row r="404">
      <c r="B404" s="67"/>
    </row>
    <row r="405">
      <c r="B405" s="67"/>
    </row>
    <row r="406">
      <c r="B406" s="67"/>
    </row>
    <row r="407">
      <c r="B407" s="67"/>
    </row>
    <row r="408">
      <c r="B408" s="67"/>
    </row>
    <row r="409">
      <c r="B409" s="67"/>
    </row>
    <row r="410">
      <c r="B410" s="67"/>
    </row>
    <row r="411">
      <c r="B411" s="67"/>
    </row>
    <row r="412">
      <c r="B412" s="67"/>
    </row>
    <row r="413">
      <c r="B413" s="67"/>
    </row>
    <row r="414">
      <c r="B414" s="67"/>
    </row>
    <row r="415">
      <c r="B415" s="67"/>
    </row>
    <row r="416">
      <c r="B416" s="67"/>
    </row>
    <row r="417">
      <c r="B417" s="67"/>
    </row>
    <row r="418">
      <c r="B418" s="67"/>
    </row>
    <row r="419">
      <c r="B419" s="67"/>
    </row>
    <row r="420">
      <c r="B420" s="67"/>
    </row>
    <row r="421">
      <c r="B421" s="67"/>
    </row>
    <row r="422">
      <c r="B422" s="67"/>
    </row>
    <row r="423">
      <c r="B423" s="67"/>
    </row>
    <row r="424">
      <c r="B424" s="67"/>
    </row>
    <row r="425">
      <c r="B425" s="67"/>
    </row>
    <row r="426">
      <c r="B426" s="67"/>
    </row>
    <row r="427">
      <c r="B427" s="67"/>
    </row>
    <row r="428">
      <c r="B428" s="67"/>
    </row>
    <row r="429">
      <c r="B429" s="67"/>
    </row>
    <row r="430">
      <c r="B430" s="67"/>
    </row>
    <row r="431">
      <c r="B431" s="67"/>
    </row>
    <row r="432">
      <c r="B432" s="67"/>
    </row>
    <row r="433">
      <c r="B433" s="67"/>
    </row>
    <row r="434">
      <c r="B434" s="67"/>
    </row>
    <row r="435">
      <c r="B435" s="67"/>
    </row>
    <row r="436">
      <c r="B436" s="67"/>
    </row>
    <row r="437">
      <c r="B437" s="67"/>
    </row>
    <row r="438">
      <c r="B438" s="67"/>
    </row>
    <row r="439">
      <c r="B439" s="67"/>
    </row>
    <row r="440">
      <c r="B440" s="67"/>
    </row>
    <row r="441">
      <c r="B441" s="67"/>
    </row>
    <row r="442">
      <c r="B442" s="67"/>
    </row>
    <row r="443">
      <c r="B443" s="67"/>
    </row>
    <row r="444">
      <c r="B444" s="67"/>
    </row>
    <row r="445">
      <c r="B445" s="67"/>
    </row>
    <row r="446">
      <c r="B446" s="67"/>
    </row>
    <row r="447">
      <c r="B447" s="67"/>
    </row>
    <row r="448">
      <c r="B448" s="67"/>
    </row>
    <row r="449">
      <c r="B449" s="67"/>
    </row>
    <row r="450">
      <c r="B450" s="67"/>
    </row>
    <row r="451">
      <c r="B451" s="67"/>
    </row>
    <row r="452">
      <c r="B452" s="67"/>
    </row>
    <row r="453">
      <c r="B453" s="67"/>
    </row>
    <row r="454">
      <c r="B454" s="67"/>
    </row>
    <row r="455">
      <c r="B455" s="67"/>
    </row>
    <row r="456">
      <c r="B456" s="67"/>
    </row>
    <row r="457">
      <c r="B457" s="67"/>
    </row>
    <row r="458">
      <c r="B458" s="67"/>
    </row>
    <row r="459">
      <c r="B459" s="67"/>
    </row>
    <row r="460">
      <c r="B460" s="67"/>
    </row>
    <row r="461">
      <c r="B461" s="67"/>
    </row>
    <row r="462">
      <c r="B462" s="67"/>
    </row>
    <row r="463">
      <c r="B463" s="67"/>
    </row>
    <row r="464">
      <c r="B464" s="67"/>
    </row>
    <row r="465">
      <c r="B465" s="67"/>
    </row>
    <row r="466">
      <c r="B466" s="67"/>
    </row>
    <row r="467">
      <c r="B467" s="67"/>
    </row>
    <row r="468">
      <c r="B468" s="67"/>
    </row>
    <row r="469">
      <c r="B469" s="67"/>
    </row>
    <row r="470">
      <c r="B470" s="67"/>
    </row>
    <row r="471">
      <c r="B471" s="67"/>
    </row>
    <row r="472">
      <c r="B472" s="67"/>
    </row>
    <row r="473">
      <c r="B473" s="67"/>
    </row>
    <row r="474">
      <c r="B474" s="67"/>
    </row>
    <row r="475">
      <c r="B475" s="67"/>
    </row>
    <row r="476">
      <c r="B476" s="67"/>
    </row>
    <row r="477">
      <c r="B477" s="67"/>
    </row>
    <row r="478">
      <c r="B478" s="67"/>
    </row>
    <row r="479">
      <c r="B479" s="67"/>
    </row>
    <row r="480">
      <c r="B480" s="67"/>
    </row>
    <row r="481">
      <c r="B481" s="67"/>
    </row>
    <row r="482">
      <c r="B482" s="67"/>
    </row>
    <row r="483">
      <c r="B483" s="67"/>
    </row>
    <row r="484">
      <c r="B484" s="67"/>
    </row>
    <row r="485">
      <c r="B485" s="67"/>
    </row>
    <row r="486">
      <c r="B486" s="67"/>
    </row>
    <row r="487">
      <c r="B487" s="67"/>
    </row>
    <row r="488">
      <c r="B488" s="67"/>
    </row>
    <row r="489">
      <c r="B489" s="67"/>
    </row>
    <row r="490">
      <c r="B490" s="67"/>
    </row>
    <row r="491">
      <c r="B491" s="67"/>
    </row>
    <row r="492">
      <c r="B492" s="67"/>
    </row>
    <row r="493">
      <c r="B493" s="67"/>
    </row>
    <row r="494">
      <c r="B494" s="67"/>
    </row>
    <row r="495">
      <c r="B495" s="67"/>
    </row>
    <row r="496">
      <c r="B496" s="67"/>
    </row>
    <row r="497">
      <c r="B497" s="67"/>
    </row>
    <row r="498">
      <c r="B498" s="67"/>
    </row>
    <row r="499">
      <c r="B499" s="67"/>
    </row>
    <row r="500">
      <c r="B500" s="67"/>
    </row>
    <row r="501">
      <c r="B501" s="67"/>
    </row>
    <row r="502">
      <c r="B502" s="67"/>
    </row>
    <row r="503">
      <c r="B503" s="67"/>
    </row>
    <row r="504">
      <c r="B504" s="67"/>
    </row>
    <row r="505">
      <c r="B505" s="67"/>
    </row>
    <row r="506">
      <c r="B506" s="67"/>
    </row>
    <row r="507">
      <c r="B507" s="67"/>
    </row>
    <row r="508">
      <c r="B508" s="67"/>
    </row>
    <row r="509">
      <c r="B509" s="67"/>
    </row>
    <row r="510">
      <c r="B510" s="67"/>
    </row>
    <row r="511">
      <c r="B511" s="67"/>
    </row>
    <row r="512">
      <c r="B512" s="67"/>
    </row>
    <row r="513">
      <c r="B513" s="67"/>
    </row>
    <row r="514">
      <c r="B514" s="67"/>
    </row>
    <row r="515">
      <c r="B515" s="67"/>
    </row>
    <row r="516">
      <c r="B516" s="67"/>
    </row>
    <row r="517">
      <c r="B517" s="67"/>
    </row>
    <row r="518">
      <c r="B518" s="67"/>
    </row>
    <row r="519">
      <c r="B519" s="67"/>
    </row>
    <row r="520">
      <c r="B520" s="67"/>
    </row>
    <row r="521">
      <c r="B521" s="67"/>
    </row>
    <row r="522">
      <c r="B522" s="67"/>
    </row>
    <row r="523">
      <c r="B523" s="67"/>
    </row>
    <row r="524">
      <c r="B524" s="67"/>
    </row>
    <row r="525">
      <c r="B525" s="67"/>
    </row>
    <row r="526">
      <c r="B526" s="67"/>
    </row>
    <row r="527">
      <c r="B527" s="67"/>
    </row>
    <row r="528">
      <c r="B528" s="67"/>
    </row>
    <row r="529">
      <c r="B529" s="67"/>
    </row>
    <row r="530">
      <c r="B530" s="67"/>
    </row>
    <row r="531">
      <c r="B531" s="67"/>
    </row>
    <row r="532">
      <c r="B532" s="67"/>
    </row>
    <row r="533">
      <c r="B533" s="67"/>
    </row>
    <row r="534">
      <c r="B534" s="67"/>
    </row>
    <row r="535">
      <c r="B535" s="67"/>
    </row>
    <row r="536">
      <c r="B536" s="67"/>
    </row>
    <row r="537">
      <c r="B537" s="67"/>
    </row>
    <row r="538">
      <c r="B538" s="67"/>
    </row>
    <row r="539">
      <c r="B539" s="67"/>
    </row>
    <row r="540">
      <c r="B540" s="67"/>
    </row>
    <row r="541">
      <c r="B541" s="67"/>
    </row>
    <row r="542">
      <c r="B542" s="67"/>
    </row>
    <row r="543">
      <c r="B543" s="67"/>
    </row>
    <row r="544">
      <c r="B544" s="67"/>
    </row>
    <row r="545">
      <c r="B545" s="67"/>
    </row>
    <row r="546">
      <c r="B546" s="67"/>
    </row>
    <row r="547">
      <c r="B547" s="67"/>
    </row>
    <row r="548">
      <c r="B548" s="67"/>
    </row>
    <row r="549">
      <c r="B549" s="67"/>
    </row>
    <row r="550">
      <c r="B550" s="67"/>
    </row>
    <row r="551">
      <c r="B551" s="67"/>
    </row>
    <row r="552">
      <c r="B552" s="67"/>
    </row>
    <row r="553">
      <c r="B553" s="67"/>
    </row>
    <row r="554">
      <c r="B554" s="67"/>
    </row>
    <row r="555">
      <c r="B555" s="67"/>
    </row>
    <row r="556">
      <c r="B556" s="67"/>
    </row>
    <row r="557">
      <c r="B557" s="67"/>
    </row>
    <row r="558">
      <c r="B558" s="67"/>
    </row>
    <row r="559">
      <c r="B559" s="67"/>
    </row>
    <row r="560">
      <c r="B560" s="67"/>
    </row>
    <row r="561">
      <c r="B561" s="67"/>
    </row>
    <row r="562">
      <c r="B562" s="67"/>
    </row>
    <row r="563">
      <c r="B563" s="67"/>
    </row>
    <row r="564">
      <c r="B564" s="67"/>
    </row>
    <row r="565">
      <c r="B565" s="67"/>
    </row>
    <row r="566">
      <c r="B566" s="67"/>
    </row>
    <row r="567">
      <c r="B567" s="67"/>
    </row>
    <row r="568">
      <c r="B568" s="67"/>
    </row>
    <row r="569">
      <c r="B569" s="67"/>
    </row>
    <row r="570">
      <c r="B570" s="67"/>
    </row>
    <row r="571">
      <c r="B571" s="67"/>
    </row>
    <row r="572">
      <c r="B572" s="67"/>
    </row>
    <row r="573">
      <c r="B573" s="67"/>
    </row>
    <row r="574">
      <c r="B574" s="67"/>
    </row>
    <row r="575">
      <c r="B575" s="67"/>
    </row>
    <row r="576">
      <c r="B576" s="67"/>
    </row>
    <row r="577">
      <c r="B577" s="67"/>
    </row>
    <row r="578">
      <c r="B578" s="67"/>
    </row>
    <row r="579">
      <c r="B579" s="67"/>
    </row>
    <row r="580">
      <c r="B580" s="67"/>
    </row>
    <row r="581">
      <c r="B581" s="67"/>
    </row>
    <row r="582">
      <c r="B582" s="67"/>
    </row>
    <row r="583">
      <c r="B583" s="67"/>
    </row>
    <row r="584">
      <c r="B584" s="67"/>
    </row>
    <row r="585">
      <c r="B585" s="67"/>
    </row>
    <row r="586">
      <c r="B586" s="67"/>
    </row>
    <row r="587">
      <c r="B587" s="67"/>
    </row>
    <row r="588">
      <c r="B588" s="67"/>
    </row>
    <row r="589">
      <c r="B589" s="67"/>
    </row>
    <row r="590">
      <c r="B590" s="67"/>
    </row>
    <row r="591">
      <c r="B591" s="67"/>
    </row>
    <row r="592">
      <c r="B592" s="67"/>
    </row>
    <row r="593">
      <c r="B593" s="67"/>
    </row>
    <row r="594">
      <c r="B594" s="67"/>
    </row>
    <row r="595">
      <c r="B595" s="67"/>
    </row>
    <row r="596">
      <c r="B596" s="67"/>
    </row>
    <row r="597">
      <c r="B597" s="67"/>
    </row>
    <row r="598">
      <c r="B598" s="67"/>
    </row>
    <row r="599">
      <c r="B599" s="67"/>
    </row>
    <row r="600">
      <c r="B600" s="67"/>
    </row>
    <row r="601">
      <c r="B601" s="67"/>
    </row>
    <row r="602">
      <c r="B602" s="67"/>
    </row>
    <row r="603">
      <c r="B603" s="67"/>
    </row>
    <row r="604">
      <c r="B604" s="67"/>
    </row>
    <row r="605">
      <c r="B605" s="67"/>
    </row>
    <row r="606">
      <c r="B606" s="67"/>
    </row>
    <row r="607">
      <c r="B607" s="67"/>
    </row>
    <row r="608">
      <c r="B608" s="67"/>
    </row>
    <row r="609">
      <c r="B609" s="67"/>
    </row>
    <row r="610">
      <c r="B610" s="67"/>
    </row>
    <row r="611">
      <c r="B611" s="67"/>
    </row>
    <row r="612">
      <c r="B612" s="67"/>
    </row>
    <row r="613">
      <c r="B613" s="67"/>
    </row>
    <row r="614">
      <c r="B614" s="67"/>
    </row>
    <row r="615">
      <c r="B615" s="67"/>
    </row>
    <row r="616">
      <c r="B616" s="67"/>
    </row>
    <row r="617">
      <c r="B617" s="67"/>
    </row>
    <row r="618">
      <c r="B618" s="67"/>
    </row>
    <row r="619">
      <c r="B619" s="67"/>
    </row>
    <row r="620">
      <c r="B620" s="67"/>
    </row>
    <row r="621">
      <c r="B621" s="67"/>
    </row>
    <row r="622">
      <c r="B622" s="67"/>
    </row>
    <row r="623">
      <c r="B623" s="67"/>
    </row>
    <row r="624">
      <c r="B624" s="67"/>
    </row>
    <row r="625">
      <c r="B625" s="67"/>
    </row>
    <row r="626">
      <c r="B626" s="67"/>
    </row>
    <row r="627">
      <c r="B627" s="67"/>
    </row>
    <row r="628">
      <c r="B628" s="67"/>
    </row>
    <row r="629">
      <c r="B629" s="67"/>
    </row>
    <row r="630">
      <c r="B630" s="67"/>
    </row>
    <row r="631">
      <c r="B631" s="67"/>
    </row>
    <row r="632">
      <c r="B632" s="67"/>
    </row>
    <row r="633">
      <c r="B633" s="67"/>
    </row>
    <row r="634">
      <c r="B634" s="67"/>
    </row>
    <row r="635">
      <c r="B635" s="67"/>
    </row>
    <row r="636">
      <c r="B636" s="67"/>
    </row>
    <row r="637">
      <c r="B637" s="67"/>
    </row>
    <row r="638">
      <c r="B638" s="67"/>
    </row>
    <row r="639">
      <c r="B639" s="67"/>
    </row>
    <row r="640">
      <c r="B640" s="67"/>
    </row>
    <row r="641">
      <c r="B641" s="67"/>
    </row>
    <row r="642">
      <c r="B642" s="67"/>
    </row>
    <row r="643">
      <c r="B643" s="67"/>
    </row>
    <row r="644">
      <c r="B644" s="67"/>
    </row>
    <row r="645">
      <c r="B645" s="67"/>
    </row>
    <row r="646">
      <c r="B646" s="67"/>
    </row>
    <row r="647">
      <c r="B647" s="67"/>
    </row>
    <row r="648">
      <c r="B648" s="67"/>
    </row>
    <row r="649">
      <c r="B649" s="67"/>
    </row>
    <row r="650">
      <c r="B650" s="67"/>
    </row>
    <row r="651">
      <c r="B651" s="67"/>
    </row>
    <row r="652">
      <c r="B652" s="67"/>
    </row>
    <row r="653">
      <c r="B653" s="67"/>
    </row>
    <row r="654">
      <c r="B654" s="67"/>
    </row>
    <row r="655">
      <c r="B655" s="67"/>
    </row>
    <row r="656">
      <c r="B656" s="67"/>
    </row>
    <row r="657">
      <c r="B657" s="67"/>
    </row>
    <row r="658">
      <c r="B658" s="67"/>
    </row>
    <row r="659">
      <c r="B659" s="67"/>
    </row>
    <row r="660">
      <c r="B660" s="67"/>
    </row>
    <row r="661">
      <c r="B661" s="67"/>
    </row>
    <row r="662">
      <c r="B662" s="67"/>
    </row>
    <row r="663">
      <c r="B663" s="67"/>
    </row>
    <row r="664">
      <c r="B664" s="67"/>
    </row>
    <row r="665">
      <c r="B665" s="67"/>
    </row>
    <row r="666">
      <c r="B666" s="67"/>
    </row>
    <row r="667">
      <c r="B667" s="67"/>
    </row>
    <row r="668">
      <c r="B668" s="67"/>
    </row>
    <row r="669">
      <c r="B669" s="67"/>
    </row>
    <row r="670">
      <c r="B670" s="67"/>
    </row>
    <row r="671">
      <c r="B671" s="67"/>
    </row>
    <row r="672">
      <c r="B672" s="67"/>
    </row>
    <row r="673">
      <c r="B673" s="67"/>
    </row>
    <row r="674">
      <c r="B674" s="67"/>
    </row>
    <row r="675">
      <c r="B675" s="67"/>
    </row>
    <row r="676">
      <c r="B676" s="67"/>
    </row>
    <row r="677">
      <c r="B677" s="67"/>
    </row>
    <row r="678">
      <c r="B678" s="67"/>
    </row>
    <row r="679">
      <c r="B679" s="67"/>
    </row>
    <row r="680">
      <c r="B680" s="67"/>
    </row>
    <row r="681">
      <c r="B681" s="67"/>
    </row>
    <row r="682">
      <c r="B682" s="67"/>
    </row>
    <row r="683">
      <c r="B683" s="67"/>
    </row>
    <row r="684">
      <c r="B684" s="67"/>
    </row>
    <row r="685">
      <c r="B685" s="67"/>
    </row>
    <row r="686">
      <c r="B686" s="67"/>
    </row>
    <row r="687">
      <c r="B687" s="67"/>
    </row>
    <row r="688">
      <c r="B688" s="67"/>
    </row>
    <row r="689">
      <c r="B689" s="67"/>
    </row>
    <row r="690">
      <c r="B690" s="67"/>
    </row>
    <row r="691">
      <c r="B691" s="67"/>
    </row>
    <row r="692">
      <c r="B692" s="67"/>
    </row>
    <row r="693">
      <c r="B693" s="67"/>
    </row>
    <row r="694">
      <c r="B694" s="67"/>
    </row>
    <row r="695">
      <c r="B695" s="67"/>
    </row>
    <row r="696">
      <c r="B696" s="67"/>
    </row>
    <row r="697">
      <c r="B697" s="67"/>
    </row>
    <row r="698">
      <c r="B698" s="67"/>
    </row>
    <row r="699">
      <c r="B699" s="67"/>
    </row>
    <row r="700">
      <c r="B700" s="67"/>
    </row>
    <row r="701">
      <c r="B701" s="67"/>
    </row>
    <row r="702">
      <c r="B702" s="67"/>
    </row>
    <row r="703">
      <c r="B703" s="67"/>
    </row>
    <row r="704">
      <c r="B704" s="67"/>
    </row>
    <row r="705">
      <c r="B705" s="67"/>
    </row>
    <row r="706">
      <c r="B706" s="67"/>
    </row>
    <row r="707">
      <c r="B707" s="67"/>
    </row>
    <row r="708">
      <c r="B708" s="67"/>
    </row>
    <row r="709">
      <c r="B709" s="67"/>
    </row>
    <row r="710">
      <c r="B710" s="67"/>
    </row>
    <row r="711">
      <c r="B711" s="67"/>
    </row>
    <row r="712">
      <c r="B712" s="67"/>
    </row>
    <row r="713">
      <c r="B713" s="67"/>
    </row>
    <row r="714">
      <c r="B714" s="67"/>
    </row>
    <row r="715">
      <c r="B715" s="67"/>
    </row>
    <row r="716">
      <c r="B716" s="67"/>
    </row>
    <row r="717">
      <c r="B717" s="67"/>
    </row>
    <row r="718">
      <c r="B718" s="67"/>
    </row>
    <row r="719">
      <c r="B719" s="67"/>
    </row>
    <row r="720">
      <c r="B720" s="67"/>
    </row>
    <row r="721">
      <c r="B721" s="67"/>
    </row>
    <row r="722">
      <c r="B722" s="67"/>
    </row>
    <row r="723">
      <c r="B723" s="67"/>
    </row>
    <row r="724">
      <c r="B724" s="67"/>
    </row>
    <row r="725">
      <c r="B725" s="67"/>
    </row>
    <row r="726">
      <c r="B726" s="67"/>
    </row>
    <row r="727">
      <c r="B727" s="67"/>
    </row>
    <row r="728">
      <c r="B728" s="67"/>
    </row>
    <row r="729">
      <c r="B729" s="67"/>
    </row>
    <row r="730">
      <c r="B730" s="67"/>
    </row>
    <row r="731">
      <c r="B731" s="67"/>
    </row>
    <row r="732">
      <c r="B732" s="67"/>
    </row>
    <row r="733">
      <c r="B733" s="67"/>
    </row>
    <row r="734">
      <c r="B734" s="67"/>
    </row>
    <row r="735">
      <c r="B735" s="67"/>
    </row>
    <row r="736">
      <c r="B736" s="67"/>
    </row>
    <row r="737">
      <c r="B737" s="67"/>
    </row>
    <row r="738">
      <c r="B738" s="67"/>
    </row>
    <row r="739">
      <c r="B739" s="67"/>
    </row>
    <row r="740">
      <c r="B740" s="67"/>
    </row>
    <row r="741">
      <c r="B741" s="67"/>
    </row>
    <row r="742">
      <c r="B742" s="67"/>
    </row>
    <row r="743">
      <c r="B743" s="67"/>
    </row>
    <row r="744">
      <c r="B744" s="67"/>
    </row>
    <row r="745">
      <c r="B745" s="67"/>
    </row>
    <row r="746">
      <c r="B746" s="67"/>
    </row>
    <row r="747">
      <c r="B747" s="67"/>
    </row>
    <row r="748">
      <c r="B748" s="67"/>
    </row>
    <row r="749">
      <c r="B749" s="67"/>
    </row>
    <row r="750">
      <c r="B750" s="67"/>
    </row>
    <row r="751">
      <c r="B751" s="67"/>
    </row>
    <row r="752">
      <c r="B752" s="67"/>
    </row>
    <row r="753">
      <c r="B753" s="67"/>
    </row>
    <row r="754">
      <c r="B754" s="67"/>
    </row>
    <row r="755">
      <c r="B755" s="67"/>
    </row>
    <row r="756">
      <c r="B756" s="67"/>
    </row>
    <row r="757">
      <c r="B757" s="67"/>
    </row>
    <row r="758">
      <c r="B758" s="67"/>
    </row>
    <row r="759">
      <c r="B759" s="67"/>
    </row>
    <row r="760">
      <c r="B760" s="67"/>
    </row>
    <row r="761">
      <c r="B761" s="67"/>
    </row>
    <row r="762">
      <c r="B762" s="67"/>
    </row>
    <row r="763">
      <c r="B763" s="67"/>
    </row>
    <row r="764">
      <c r="B764" s="67"/>
    </row>
    <row r="765">
      <c r="B765" s="67"/>
    </row>
    <row r="766">
      <c r="B766" s="67"/>
    </row>
    <row r="767">
      <c r="B767" s="67"/>
    </row>
    <row r="768">
      <c r="B768" s="67"/>
    </row>
    <row r="769">
      <c r="B769" s="67"/>
    </row>
    <row r="770">
      <c r="B770" s="67"/>
    </row>
    <row r="771">
      <c r="B771" s="67"/>
    </row>
    <row r="772">
      <c r="B772" s="67"/>
    </row>
    <row r="773">
      <c r="B773" s="67"/>
    </row>
    <row r="774">
      <c r="B774" s="67"/>
    </row>
    <row r="775">
      <c r="B775" s="67"/>
    </row>
    <row r="776">
      <c r="B776" s="67"/>
    </row>
    <row r="777">
      <c r="B777" s="67"/>
    </row>
    <row r="778">
      <c r="B778" s="67"/>
    </row>
    <row r="779">
      <c r="B779" s="67"/>
    </row>
    <row r="780">
      <c r="B780" s="67"/>
    </row>
    <row r="781">
      <c r="B781" s="67"/>
    </row>
    <row r="782">
      <c r="B782" s="67"/>
    </row>
    <row r="783">
      <c r="B783" s="67"/>
    </row>
    <row r="784">
      <c r="B784" s="67"/>
    </row>
    <row r="785">
      <c r="B785" s="67"/>
    </row>
    <row r="786">
      <c r="B786" s="67"/>
    </row>
    <row r="787">
      <c r="B787" s="67"/>
    </row>
    <row r="788">
      <c r="B788" s="67"/>
    </row>
    <row r="789">
      <c r="B789" s="67"/>
    </row>
    <row r="790">
      <c r="B790" s="67"/>
    </row>
    <row r="791">
      <c r="B791" s="67"/>
    </row>
    <row r="792">
      <c r="B792" s="67"/>
    </row>
    <row r="793">
      <c r="B793" s="67"/>
    </row>
    <row r="794">
      <c r="B794" s="67"/>
    </row>
    <row r="795">
      <c r="B795" s="67"/>
    </row>
    <row r="796">
      <c r="B796" s="67"/>
    </row>
    <row r="797">
      <c r="B797" s="67"/>
    </row>
    <row r="798">
      <c r="B798" s="67"/>
    </row>
    <row r="799">
      <c r="B799" s="67"/>
    </row>
    <row r="800">
      <c r="B800" s="67"/>
    </row>
    <row r="801">
      <c r="B801" s="67"/>
    </row>
    <row r="802">
      <c r="B802" s="67"/>
    </row>
    <row r="803">
      <c r="B803" s="67"/>
    </row>
    <row r="804">
      <c r="B804" s="67"/>
    </row>
    <row r="805">
      <c r="B805" s="67"/>
    </row>
    <row r="806">
      <c r="B806" s="67"/>
    </row>
    <row r="807">
      <c r="B807" s="67"/>
    </row>
    <row r="808">
      <c r="B808" s="67"/>
    </row>
    <row r="809">
      <c r="B809" s="67"/>
    </row>
    <row r="810">
      <c r="B810" s="67"/>
    </row>
    <row r="811">
      <c r="B811" s="67"/>
    </row>
    <row r="812">
      <c r="B812" s="67"/>
    </row>
    <row r="813">
      <c r="B813" s="67"/>
    </row>
    <row r="814">
      <c r="B814" s="67"/>
    </row>
    <row r="815">
      <c r="B815" s="67"/>
    </row>
    <row r="816">
      <c r="B816" s="67"/>
    </row>
    <row r="817">
      <c r="B817" s="67"/>
    </row>
    <row r="818">
      <c r="B818" s="67"/>
    </row>
    <row r="819">
      <c r="B819" s="67"/>
    </row>
    <row r="820">
      <c r="B820" s="67"/>
    </row>
    <row r="821">
      <c r="B821" s="67"/>
    </row>
    <row r="822">
      <c r="B822" s="67"/>
    </row>
    <row r="823">
      <c r="B823" s="67"/>
    </row>
    <row r="824">
      <c r="B824" s="67"/>
    </row>
    <row r="825">
      <c r="B825" s="67"/>
    </row>
    <row r="826">
      <c r="B826" s="67"/>
    </row>
    <row r="827">
      <c r="B827" s="67"/>
    </row>
    <row r="828">
      <c r="B828" s="67"/>
    </row>
    <row r="829">
      <c r="B829" s="67"/>
    </row>
    <row r="830">
      <c r="B830" s="67"/>
    </row>
    <row r="831">
      <c r="B831" s="67"/>
    </row>
    <row r="832">
      <c r="B832" s="67"/>
    </row>
    <row r="833">
      <c r="B833" s="67"/>
    </row>
    <row r="834">
      <c r="B834" s="67"/>
    </row>
    <row r="835">
      <c r="B835" s="67"/>
    </row>
    <row r="836">
      <c r="B836" s="67"/>
    </row>
    <row r="837">
      <c r="B837" s="67"/>
    </row>
    <row r="838">
      <c r="B838" s="67"/>
    </row>
    <row r="839">
      <c r="B839" s="67"/>
    </row>
    <row r="840">
      <c r="B840" s="67"/>
    </row>
    <row r="841">
      <c r="B841" s="67"/>
    </row>
    <row r="842">
      <c r="B842" s="67"/>
    </row>
    <row r="843">
      <c r="B843" s="67"/>
    </row>
    <row r="844">
      <c r="B844" s="67"/>
    </row>
    <row r="845">
      <c r="B845" s="67"/>
    </row>
    <row r="846">
      <c r="B846" s="67"/>
    </row>
    <row r="847">
      <c r="B847" s="67"/>
    </row>
    <row r="848">
      <c r="B848" s="67"/>
    </row>
    <row r="849">
      <c r="B849" s="67"/>
    </row>
    <row r="850">
      <c r="B850" s="67"/>
    </row>
    <row r="851">
      <c r="B851" s="67"/>
    </row>
    <row r="852">
      <c r="B852" s="67"/>
    </row>
    <row r="853">
      <c r="B853" s="67"/>
    </row>
    <row r="854">
      <c r="B854" s="67"/>
    </row>
    <row r="855">
      <c r="B855" s="67"/>
    </row>
    <row r="856">
      <c r="B856" s="67"/>
    </row>
    <row r="857">
      <c r="B857" s="67"/>
    </row>
    <row r="858">
      <c r="B858" s="67"/>
    </row>
    <row r="859">
      <c r="B859" s="67"/>
    </row>
    <row r="860">
      <c r="B860" s="67"/>
    </row>
    <row r="861">
      <c r="B861" s="67"/>
    </row>
    <row r="862">
      <c r="B862" s="67"/>
    </row>
    <row r="863">
      <c r="B863" s="67"/>
    </row>
    <row r="864">
      <c r="B864" s="67"/>
    </row>
    <row r="865">
      <c r="B865" s="67"/>
    </row>
    <row r="866">
      <c r="B866" s="67"/>
    </row>
    <row r="867">
      <c r="B867" s="67"/>
    </row>
    <row r="868">
      <c r="B868" s="67"/>
    </row>
    <row r="869">
      <c r="B869" s="67"/>
    </row>
    <row r="870">
      <c r="B870" s="67"/>
    </row>
    <row r="871">
      <c r="B871" s="67"/>
    </row>
    <row r="872">
      <c r="B872" s="67"/>
    </row>
    <row r="873">
      <c r="B873" s="67"/>
    </row>
    <row r="874">
      <c r="B874" s="67"/>
    </row>
    <row r="875">
      <c r="B875" s="67"/>
    </row>
    <row r="876">
      <c r="B876" s="67"/>
    </row>
    <row r="877">
      <c r="B877" s="67"/>
    </row>
    <row r="878">
      <c r="B878" s="67"/>
    </row>
    <row r="879">
      <c r="B879" s="67"/>
    </row>
    <row r="880">
      <c r="B880" s="67"/>
    </row>
    <row r="881">
      <c r="B881" s="67"/>
    </row>
    <row r="882">
      <c r="B882" s="67"/>
    </row>
    <row r="883">
      <c r="B883" s="67"/>
    </row>
    <row r="884">
      <c r="B884" s="67"/>
    </row>
    <row r="885">
      <c r="B885" s="67"/>
    </row>
    <row r="886">
      <c r="B886" s="67"/>
    </row>
    <row r="887">
      <c r="B887" s="67"/>
    </row>
    <row r="888">
      <c r="B888" s="67"/>
    </row>
    <row r="889">
      <c r="B889" s="67"/>
    </row>
    <row r="890">
      <c r="B890" s="67"/>
    </row>
    <row r="891">
      <c r="B891" s="67"/>
    </row>
    <row r="892">
      <c r="B892" s="67"/>
    </row>
    <row r="893">
      <c r="B893" s="67"/>
    </row>
    <row r="894">
      <c r="B894" s="67"/>
    </row>
    <row r="895">
      <c r="B895" s="67"/>
    </row>
    <row r="896">
      <c r="B896" s="67"/>
    </row>
    <row r="897">
      <c r="B897" s="67"/>
    </row>
    <row r="898">
      <c r="B898" s="67"/>
    </row>
    <row r="899">
      <c r="B899" s="67"/>
    </row>
    <row r="900">
      <c r="B900" s="67"/>
    </row>
    <row r="901">
      <c r="B901" s="67"/>
    </row>
    <row r="902">
      <c r="B902" s="67"/>
    </row>
    <row r="903">
      <c r="B903" s="67"/>
    </row>
    <row r="904">
      <c r="B904" s="67"/>
    </row>
    <row r="905">
      <c r="B905" s="67"/>
    </row>
    <row r="906">
      <c r="B906" s="67"/>
    </row>
    <row r="907">
      <c r="B907" s="67"/>
    </row>
    <row r="908">
      <c r="B908" s="67"/>
    </row>
    <row r="909">
      <c r="B909" s="67"/>
    </row>
    <row r="910">
      <c r="B910" s="67"/>
    </row>
    <row r="911">
      <c r="B911" s="67"/>
    </row>
    <row r="912">
      <c r="B912" s="67"/>
    </row>
    <row r="913">
      <c r="B913" s="67"/>
    </row>
    <row r="914">
      <c r="B914" s="67"/>
    </row>
    <row r="915">
      <c r="B915" s="67"/>
    </row>
    <row r="916">
      <c r="B916" s="67"/>
    </row>
    <row r="917">
      <c r="B917" s="67"/>
    </row>
    <row r="918">
      <c r="B918" s="67"/>
    </row>
    <row r="919">
      <c r="B919" s="67"/>
    </row>
    <row r="920">
      <c r="B920" s="67"/>
    </row>
    <row r="921">
      <c r="B921" s="67"/>
    </row>
    <row r="922">
      <c r="B922" s="67"/>
    </row>
    <row r="923">
      <c r="B923" s="67"/>
    </row>
    <row r="924">
      <c r="B924" s="67"/>
    </row>
    <row r="925">
      <c r="B925" s="67"/>
    </row>
    <row r="926">
      <c r="B926" s="67"/>
    </row>
    <row r="927">
      <c r="B927" s="67"/>
    </row>
    <row r="928">
      <c r="B928" s="67"/>
    </row>
    <row r="929">
      <c r="B929" s="67"/>
    </row>
    <row r="930">
      <c r="B930" s="67"/>
    </row>
    <row r="931">
      <c r="B931" s="67"/>
    </row>
    <row r="932">
      <c r="B932" s="67"/>
    </row>
    <row r="933">
      <c r="B933" s="67"/>
    </row>
    <row r="934">
      <c r="B934" s="67"/>
    </row>
    <row r="935">
      <c r="B935" s="67"/>
    </row>
    <row r="936">
      <c r="B936" s="67"/>
    </row>
    <row r="937">
      <c r="B937" s="67"/>
    </row>
    <row r="938">
      <c r="B938" s="67"/>
    </row>
    <row r="939">
      <c r="B939" s="67"/>
    </row>
    <row r="940">
      <c r="B940" s="67"/>
    </row>
    <row r="941">
      <c r="B941" s="67"/>
    </row>
    <row r="942">
      <c r="B942" s="67"/>
    </row>
    <row r="943">
      <c r="B943" s="67"/>
    </row>
    <row r="944">
      <c r="B944" s="67"/>
    </row>
    <row r="945">
      <c r="B945" s="67"/>
    </row>
    <row r="946">
      <c r="B946" s="67"/>
    </row>
    <row r="947">
      <c r="B947" s="67"/>
    </row>
    <row r="948">
      <c r="B948" s="67"/>
    </row>
    <row r="949">
      <c r="B949" s="67"/>
    </row>
    <row r="950">
      <c r="B950" s="67"/>
    </row>
    <row r="951">
      <c r="B951" s="67"/>
    </row>
    <row r="952">
      <c r="B952" s="67"/>
    </row>
    <row r="953">
      <c r="B953" s="67"/>
    </row>
    <row r="954">
      <c r="B954" s="67"/>
    </row>
    <row r="955">
      <c r="B955" s="67"/>
    </row>
    <row r="956">
      <c r="B956" s="67"/>
    </row>
    <row r="957">
      <c r="B957" s="67"/>
    </row>
    <row r="958">
      <c r="B958" s="67"/>
    </row>
    <row r="959">
      <c r="B959" s="67"/>
    </row>
    <row r="960">
      <c r="B960" s="67"/>
    </row>
    <row r="961">
      <c r="B961" s="67"/>
    </row>
    <row r="962">
      <c r="B962" s="67"/>
    </row>
    <row r="963">
      <c r="B963" s="67"/>
    </row>
    <row r="964">
      <c r="B964" s="67"/>
    </row>
    <row r="965">
      <c r="B965" s="67"/>
    </row>
    <row r="966">
      <c r="B966" s="67"/>
    </row>
    <row r="967">
      <c r="B967" s="67"/>
    </row>
    <row r="968">
      <c r="B968" s="67"/>
    </row>
    <row r="969">
      <c r="B969" s="67"/>
    </row>
    <row r="970">
      <c r="B970" s="67"/>
    </row>
    <row r="971">
      <c r="B971" s="67"/>
    </row>
    <row r="972">
      <c r="B972" s="67"/>
    </row>
    <row r="973">
      <c r="B973" s="67"/>
    </row>
    <row r="974">
      <c r="B974" s="67"/>
    </row>
    <row r="975">
      <c r="B975" s="67"/>
    </row>
    <row r="976">
      <c r="B976" s="67"/>
    </row>
    <row r="977">
      <c r="B977" s="67"/>
    </row>
    <row r="978">
      <c r="B978" s="67"/>
    </row>
    <row r="979">
      <c r="B979" s="67"/>
    </row>
    <row r="980">
      <c r="B980" s="67"/>
    </row>
    <row r="981">
      <c r="B981" s="67"/>
    </row>
    <row r="982">
      <c r="B982" s="67"/>
    </row>
    <row r="983">
      <c r="B983" s="67"/>
    </row>
    <row r="984">
      <c r="B984" s="67"/>
    </row>
    <row r="985">
      <c r="B985" s="67"/>
    </row>
    <row r="986">
      <c r="B986" s="67"/>
    </row>
    <row r="987">
      <c r="B987" s="67"/>
    </row>
    <row r="988">
      <c r="B988" s="67"/>
    </row>
    <row r="989">
      <c r="B989" s="67"/>
    </row>
    <row r="990">
      <c r="B990" s="67"/>
    </row>
    <row r="991">
      <c r="B991" s="67"/>
    </row>
    <row r="992">
      <c r="B992" s="67"/>
    </row>
    <row r="993">
      <c r="B993" s="67"/>
    </row>
    <row r="994">
      <c r="B994" s="67"/>
    </row>
    <row r="995">
      <c r="B995" s="67"/>
    </row>
    <row r="996">
      <c r="B996" s="67"/>
    </row>
    <row r="997">
      <c r="B997" s="67"/>
    </row>
    <row r="998">
      <c r="B998" s="67"/>
    </row>
    <row r="999">
      <c r="B999" s="67"/>
    </row>
    <row r="1000">
      <c r="B1000" s="6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3.38"/>
    <col customWidth="1" min="4" max="4" width="27.25"/>
  </cols>
  <sheetData>
    <row r="1">
      <c r="A1" s="1" t="s">
        <v>43</v>
      </c>
      <c r="B1" s="6" t="s">
        <v>31</v>
      </c>
      <c r="C1" s="1" t="s">
        <v>44</v>
      </c>
      <c r="D1" s="1" t="s">
        <v>45</v>
      </c>
    </row>
    <row r="2">
      <c r="A2" s="2" t="s">
        <v>4</v>
      </c>
      <c r="B2" s="71">
        <v>1.9308630351E10</v>
      </c>
      <c r="C2" s="2">
        <v>0.037</v>
      </c>
      <c r="D2" s="62">
        <f>SUM(C2:C6)</f>
        <v>0.422</v>
      </c>
    </row>
    <row r="3">
      <c r="A3" s="2" t="s">
        <v>46</v>
      </c>
      <c r="B3" s="61">
        <v>3.8909234125E10</v>
      </c>
      <c r="C3" s="2">
        <v>0.076</v>
      </c>
    </row>
    <row r="4">
      <c r="A4" s="2" t="s">
        <v>8</v>
      </c>
      <c r="B4" s="61">
        <v>1.42486527495E11</v>
      </c>
      <c r="C4" s="2">
        <v>0.27</v>
      </c>
    </row>
    <row r="5">
      <c r="A5" s="2" t="s">
        <v>47</v>
      </c>
      <c r="B5" s="61">
        <v>1.521597897E10</v>
      </c>
      <c r="C5" s="2">
        <v>0.029</v>
      </c>
    </row>
    <row r="6">
      <c r="A6" s="2" t="s">
        <v>48</v>
      </c>
      <c r="B6" s="61">
        <v>5.604812191E9</v>
      </c>
      <c r="C6" s="2">
        <v>0.01</v>
      </c>
    </row>
    <row r="8">
      <c r="B8" s="72">
        <f>SUM(B2:B6)</f>
        <v>221525183132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5"/>
    <col customWidth="1" min="12" max="12" width="15.75"/>
    <col customWidth="1" min="14" max="14" width="15.13"/>
    <col customWidth="1" min="15" max="15" width="15.25"/>
    <col customWidth="1" min="16" max="16" width="16.25"/>
    <col customWidth="1" min="17" max="17" width="15.63"/>
    <col customWidth="1" min="18" max="18" width="20.38"/>
    <col customWidth="1" min="19" max="19" width="19.0"/>
    <col customWidth="1" min="20" max="21" width="19.25"/>
  </cols>
  <sheetData>
    <row r="1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1" t="s">
        <v>49</v>
      </c>
      <c r="S1" s="1" t="s">
        <v>40</v>
      </c>
      <c r="T1" s="2" t="s">
        <v>50</v>
      </c>
    </row>
    <row r="2">
      <c r="A2" s="7" t="s">
        <v>4</v>
      </c>
      <c r="B2" s="60" t="s">
        <v>32</v>
      </c>
      <c r="C2" s="7">
        <f>ROUND(E2*8.38%,0)</f>
        <v>35</v>
      </c>
      <c r="D2" s="8">
        <f t="shared" ref="D2:D7" si="1">ROUND(C2*91.91%,0)</f>
        <v>32</v>
      </c>
      <c r="E2" s="8">
        <v>413.0</v>
      </c>
      <c r="F2" s="9">
        <v>5465389.0</v>
      </c>
      <c r="G2" s="9">
        <f t="shared" ref="G2:G31" si="2">J2-I2</f>
        <v>300000</v>
      </c>
      <c r="H2" s="9">
        <f t="shared" ref="H2:H31" si="3">I2-F2</f>
        <v>11042513</v>
      </c>
      <c r="I2" s="9">
        <v>1.6507902E7</v>
      </c>
      <c r="J2" s="10">
        <f>300000+I2</f>
        <v>16807902</v>
      </c>
      <c r="K2" s="9">
        <f>11042513*E2</f>
        <v>4560557869</v>
      </c>
      <c r="L2" s="9">
        <f>I2*E2</f>
        <v>6817763526</v>
      </c>
      <c r="M2" s="9">
        <f>G2*D2</f>
        <v>9600000</v>
      </c>
      <c r="N2" s="11">
        <f>SUM(M2:M7)</f>
        <v>1690322000</v>
      </c>
      <c r="O2" s="12">
        <f>SUM(L2:L7)</f>
        <v>8883680568</v>
      </c>
      <c r="P2" s="13">
        <f>SUM(K2:K7)</f>
        <v>8734627783</v>
      </c>
      <c r="Q2" s="73">
        <f>SUM(N2+O2+P2)</f>
        <v>19308630351</v>
      </c>
      <c r="R2" s="74"/>
      <c r="S2" s="62">
        <f>(Q5/R3)</f>
        <v>0.0003629954219</v>
      </c>
      <c r="T2" s="62">
        <f>S2*100</f>
        <v>0.03629954219</v>
      </c>
      <c r="U2" s="75">
        <v>1.9308630351E10</v>
      </c>
    </row>
    <row r="3">
      <c r="A3" s="7" t="s">
        <v>4</v>
      </c>
      <c r="B3" s="60" t="s">
        <v>33</v>
      </c>
      <c r="C3" s="7">
        <f>ROUND(E2*6.1%,0)</f>
        <v>25</v>
      </c>
      <c r="D3" s="8">
        <f t="shared" si="1"/>
        <v>23</v>
      </c>
      <c r="E3" s="15"/>
      <c r="F3" s="9">
        <v>5465389.0</v>
      </c>
      <c r="G3" s="9">
        <f t="shared" si="2"/>
        <v>18225000</v>
      </c>
      <c r="H3" s="9">
        <f t="shared" si="3"/>
        <v>11042513</v>
      </c>
      <c r="I3" s="9">
        <v>1.6507902E7</v>
      </c>
      <c r="J3" s="16">
        <v>3.4732902E7</v>
      </c>
      <c r="K3" s="11">
        <f t="shared" ref="K3:K31" si="5">H3*C3</f>
        <v>276062825</v>
      </c>
      <c r="L3" s="9">
        <f t="shared" ref="L3:M3" si="4">F3*C3</f>
        <v>136634725</v>
      </c>
      <c r="M3" s="9">
        <f t="shared" si="4"/>
        <v>419175000</v>
      </c>
      <c r="N3" s="7"/>
      <c r="O3" s="15"/>
      <c r="P3" s="13"/>
      <c r="Q3" s="16"/>
      <c r="R3" s="61">
        <v>5.319249E13</v>
      </c>
      <c r="U3" s="76">
        <v>3.8909234125E10</v>
      </c>
    </row>
    <row r="4">
      <c r="A4" s="7" t="s">
        <v>4</v>
      </c>
      <c r="B4" s="60" t="s">
        <v>34</v>
      </c>
      <c r="C4" s="7">
        <f>ROUND(E2*0.98%,0)</f>
        <v>4</v>
      </c>
      <c r="D4" s="8">
        <f t="shared" si="1"/>
        <v>4</v>
      </c>
      <c r="E4" s="18"/>
      <c r="F4" s="9">
        <v>5465389.0</v>
      </c>
      <c r="G4" s="9">
        <f t="shared" si="2"/>
        <v>25680000</v>
      </c>
      <c r="H4" s="9">
        <f t="shared" si="3"/>
        <v>11042513</v>
      </c>
      <c r="I4" s="9">
        <v>1.6507902E7</v>
      </c>
      <c r="J4" s="16">
        <v>4.2187902E7</v>
      </c>
      <c r="K4" s="11">
        <f t="shared" si="5"/>
        <v>44170052</v>
      </c>
      <c r="L4" s="9">
        <f t="shared" ref="L4:M4" si="6">F4*C4</f>
        <v>21861556</v>
      </c>
      <c r="M4" s="9">
        <f t="shared" si="6"/>
        <v>102720000</v>
      </c>
      <c r="N4" s="7"/>
      <c r="O4" s="15"/>
      <c r="P4" s="13"/>
      <c r="Q4" s="19"/>
      <c r="R4" s="61"/>
      <c r="U4" s="76">
        <v>1.42486527495E11</v>
      </c>
    </row>
    <row r="5">
      <c r="A5" s="7" t="s">
        <v>4</v>
      </c>
      <c r="B5" s="60" t="s">
        <v>35</v>
      </c>
      <c r="C5" s="7">
        <f>ROUND(E2*49.5%,0)</f>
        <v>204</v>
      </c>
      <c r="D5" s="8">
        <f t="shared" si="1"/>
        <v>187</v>
      </c>
      <c r="E5" s="20"/>
      <c r="F5" s="9">
        <v>5465389.0</v>
      </c>
      <c r="G5" s="9">
        <f t="shared" si="2"/>
        <v>754500</v>
      </c>
      <c r="H5" s="9">
        <f t="shared" si="3"/>
        <v>11042513</v>
      </c>
      <c r="I5" s="9">
        <v>1.6507902E7</v>
      </c>
      <c r="J5" s="19">
        <v>1.7262402E7</v>
      </c>
      <c r="K5" s="11">
        <f t="shared" si="5"/>
        <v>2252672652</v>
      </c>
      <c r="L5" s="9">
        <f t="shared" ref="L5:M5" si="7">F5*C5</f>
        <v>1114939356</v>
      </c>
      <c r="M5" s="9">
        <f t="shared" si="7"/>
        <v>141091500</v>
      </c>
      <c r="N5" s="7"/>
      <c r="O5" s="15"/>
      <c r="P5" s="13"/>
      <c r="Q5" s="77">
        <v>1.9308630351E10</v>
      </c>
      <c r="U5" s="78">
        <v>1.521597897E10</v>
      </c>
    </row>
    <row r="6">
      <c r="A6" s="7" t="s">
        <v>4</v>
      </c>
      <c r="B6" s="60" t="s">
        <v>36</v>
      </c>
      <c r="C6" s="7">
        <f>ROUND(E2*19.12%,0)</f>
        <v>79</v>
      </c>
      <c r="D6" s="8">
        <f t="shared" si="1"/>
        <v>73</v>
      </c>
      <c r="E6" s="15"/>
      <c r="F6" s="9">
        <v>5465389.0</v>
      </c>
      <c r="G6" s="9">
        <f t="shared" si="2"/>
        <v>9763500</v>
      </c>
      <c r="H6" s="9">
        <f t="shared" si="3"/>
        <v>11042513</v>
      </c>
      <c r="I6" s="9">
        <v>1.6507902E7</v>
      </c>
      <c r="J6" s="19">
        <v>2.6271402E7</v>
      </c>
      <c r="K6" s="11">
        <f t="shared" si="5"/>
        <v>872358527</v>
      </c>
      <c r="L6" s="9">
        <f t="shared" ref="L6:M6" si="8">F6*C6</f>
        <v>431765731</v>
      </c>
      <c r="M6" s="9">
        <f t="shared" si="8"/>
        <v>712735500</v>
      </c>
      <c r="N6" s="7"/>
      <c r="O6" s="15"/>
      <c r="P6" s="13"/>
      <c r="Q6" s="13"/>
      <c r="U6" s="76">
        <v>5.606812191E9</v>
      </c>
    </row>
    <row r="7">
      <c r="A7" s="7" t="s">
        <v>4</v>
      </c>
      <c r="B7" s="60" t="s">
        <v>37</v>
      </c>
      <c r="C7" s="7">
        <f>ROUND(E2*15.94%,0)</f>
        <v>66</v>
      </c>
      <c r="D7" s="8">
        <f t="shared" si="1"/>
        <v>61</v>
      </c>
      <c r="E7" s="15"/>
      <c r="F7" s="9">
        <v>5465389.0</v>
      </c>
      <c r="G7" s="9">
        <f t="shared" si="2"/>
        <v>5000000</v>
      </c>
      <c r="H7" s="9">
        <f t="shared" si="3"/>
        <v>11042513</v>
      </c>
      <c r="I7" s="9">
        <v>1.6507902E7</v>
      </c>
      <c r="J7" s="21">
        <f>5000000+I7</f>
        <v>21507902</v>
      </c>
      <c r="K7" s="11">
        <f t="shared" si="5"/>
        <v>728805858</v>
      </c>
      <c r="L7" s="9">
        <f t="shared" ref="L7:M7" si="9">F7*C7</f>
        <v>360715674</v>
      </c>
      <c r="M7" s="9">
        <f t="shared" si="9"/>
        <v>305000000</v>
      </c>
      <c r="N7" s="7"/>
      <c r="O7" s="15"/>
      <c r="P7" s="13"/>
      <c r="Q7" s="21"/>
      <c r="U7" s="79">
        <f>SUM(U2:U6)</f>
        <v>221527183132</v>
      </c>
      <c r="V7" s="80" t="s">
        <v>51</v>
      </c>
      <c r="W7" s="81"/>
      <c r="X7" s="81"/>
      <c r="Y7" s="81"/>
      <c r="Z7" s="81"/>
    </row>
    <row r="8">
      <c r="A8" s="22" t="s">
        <v>6</v>
      </c>
      <c r="B8" s="63" t="s">
        <v>32</v>
      </c>
      <c r="C8" s="22">
        <v>150.0</v>
      </c>
      <c r="D8" s="23">
        <f t="shared" ref="D8:D13" si="11">ROUND(C8*88%,0)</f>
        <v>132</v>
      </c>
      <c r="E8" s="23">
        <f>SUM(C8:C13)</f>
        <v>2369</v>
      </c>
      <c r="F8" s="24">
        <v>2732694.0</v>
      </c>
      <c r="G8" s="24">
        <f t="shared" si="2"/>
        <v>75000</v>
      </c>
      <c r="H8" s="24">
        <f t="shared" si="3"/>
        <v>10112931</v>
      </c>
      <c r="I8" s="24">
        <v>1.2845625E7</v>
      </c>
      <c r="J8" s="25">
        <f>75000+I8</f>
        <v>12920625</v>
      </c>
      <c r="K8" s="26">
        <f t="shared" si="5"/>
        <v>1516939650</v>
      </c>
      <c r="L8" s="24">
        <f t="shared" ref="L8:M8" si="10">F8*C8</f>
        <v>409904100</v>
      </c>
      <c r="M8" s="24">
        <f t="shared" si="10"/>
        <v>9900000</v>
      </c>
      <c r="N8" s="24">
        <f>SUM(M8:M13)</f>
        <v>8477948500</v>
      </c>
      <c r="O8" s="24">
        <f>SUM(L8:L13)</f>
        <v>6473752086</v>
      </c>
      <c r="P8" s="27">
        <f>SUM(K8:K13)</f>
        <v>23957533539</v>
      </c>
      <c r="Q8" s="28">
        <f>SUM(N8+O8+P8)</f>
        <v>38909234125</v>
      </c>
      <c r="S8" s="62">
        <f>Q9/R3</f>
        <v>0.000731479841</v>
      </c>
      <c r="T8" s="62">
        <f>S8*100</f>
        <v>0.0731479841</v>
      </c>
    </row>
    <row r="9">
      <c r="A9" s="22" t="s">
        <v>6</v>
      </c>
      <c r="B9" s="63" t="s">
        <v>33</v>
      </c>
      <c r="C9" s="22">
        <v>156.0</v>
      </c>
      <c r="D9" s="23">
        <f t="shared" si="11"/>
        <v>137</v>
      </c>
      <c r="E9" s="23"/>
      <c r="F9" s="24">
        <v>2732694.0</v>
      </c>
      <c r="G9" s="24">
        <f t="shared" si="2"/>
        <v>18225000</v>
      </c>
      <c r="H9" s="24">
        <f t="shared" si="3"/>
        <v>10112931</v>
      </c>
      <c r="I9" s="24">
        <v>1.2845625E7</v>
      </c>
      <c r="J9" s="27">
        <v>3.1070625E7</v>
      </c>
      <c r="K9" s="26">
        <f t="shared" si="5"/>
        <v>1577617236</v>
      </c>
      <c r="L9" s="24">
        <f t="shared" ref="L9:M9" si="12">F9*C9</f>
        <v>426300264</v>
      </c>
      <c r="M9" s="24">
        <f t="shared" si="12"/>
        <v>2496825000</v>
      </c>
      <c r="N9" s="22"/>
      <c r="O9" s="23"/>
      <c r="P9" s="27"/>
      <c r="Q9" s="27">
        <v>3.8909234125E10</v>
      </c>
    </row>
    <row r="10">
      <c r="A10" s="22" t="s">
        <v>6</v>
      </c>
      <c r="B10" s="63" t="s">
        <v>34</v>
      </c>
      <c r="C10" s="22">
        <v>19.0</v>
      </c>
      <c r="D10" s="23">
        <f t="shared" si="11"/>
        <v>17</v>
      </c>
      <c r="E10" s="23"/>
      <c r="F10" s="24">
        <v>2732694.0</v>
      </c>
      <c r="G10" s="24">
        <f t="shared" si="2"/>
        <v>25680000</v>
      </c>
      <c r="H10" s="24">
        <f t="shared" si="3"/>
        <v>10112931</v>
      </c>
      <c r="I10" s="24">
        <v>1.2845625E7</v>
      </c>
      <c r="J10" s="27">
        <v>3.8525625E7</v>
      </c>
      <c r="K10" s="26">
        <f t="shared" si="5"/>
        <v>192145689</v>
      </c>
      <c r="L10" s="24">
        <f t="shared" ref="L10:M10" si="13">F10*C10</f>
        <v>51921186</v>
      </c>
      <c r="M10" s="24">
        <f t="shared" si="13"/>
        <v>436560000</v>
      </c>
      <c r="N10" s="22"/>
      <c r="O10" s="23"/>
      <c r="P10" s="27"/>
      <c r="Q10" s="27"/>
    </row>
    <row r="11">
      <c r="A11" s="22" t="s">
        <v>6</v>
      </c>
      <c r="B11" s="63" t="s">
        <v>35</v>
      </c>
      <c r="C11" s="22">
        <v>1355.0</v>
      </c>
      <c r="D11" s="23">
        <f t="shared" si="11"/>
        <v>1192</v>
      </c>
      <c r="E11" s="23"/>
      <c r="F11" s="24">
        <v>2732694.0</v>
      </c>
      <c r="G11" s="24">
        <f t="shared" si="2"/>
        <v>754500</v>
      </c>
      <c r="H11" s="24">
        <f t="shared" si="3"/>
        <v>10112931</v>
      </c>
      <c r="I11" s="24">
        <v>1.2845625E7</v>
      </c>
      <c r="J11" s="27">
        <v>1.3600125E7</v>
      </c>
      <c r="K11" s="26">
        <f t="shared" si="5"/>
        <v>13703021505</v>
      </c>
      <c r="L11" s="24">
        <f t="shared" ref="L11:M11" si="14">F11*C11</f>
        <v>3702800370</v>
      </c>
      <c r="M11" s="24">
        <f t="shared" si="14"/>
        <v>899364000</v>
      </c>
      <c r="N11" s="22"/>
      <c r="O11" s="23"/>
      <c r="P11" s="27"/>
      <c r="Q11" s="27"/>
    </row>
    <row r="12">
      <c r="A12" s="22" t="s">
        <v>6</v>
      </c>
      <c r="B12" s="63" t="s">
        <v>36</v>
      </c>
      <c r="C12" s="22">
        <v>383.0</v>
      </c>
      <c r="D12" s="23">
        <f t="shared" si="11"/>
        <v>337</v>
      </c>
      <c r="E12" s="23"/>
      <c r="F12" s="24">
        <v>2732694.0</v>
      </c>
      <c r="G12" s="24">
        <f t="shared" si="2"/>
        <v>9763500</v>
      </c>
      <c r="H12" s="24">
        <f t="shared" si="3"/>
        <v>10112931</v>
      </c>
      <c r="I12" s="24">
        <v>1.2845625E7</v>
      </c>
      <c r="J12" s="27">
        <v>2.2609125E7</v>
      </c>
      <c r="K12" s="26">
        <f t="shared" si="5"/>
        <v>3873252573</v>
      </c>
      <c r="L12" s="24">
        <f t="shared" ref="L12:M12" si="15">F12*C12</f>
        <v>1046621802</v>
      </c>
      <c r="M12" s="24">
        <f t="shared" si="15"/>
        <v>3290299500</v>
      </c>
      <c r="N12" s="22"/>
      <c r="O12" s="23"/>
      <c r="P12" s="27"/>
      <c r="Q12" s="27"/>
    </row>
    <row r="13">
      <c r="A13" s="22" t="s">
        <v>6</v>
      </c>
      <c r="B13" s="63" t="s">
        <v>37</v>
      </c>
      <c r="C13" s="22">
        <v>306.0</v>
      </c>
      <c r="D13" s="23">
        <f t="shared" si="11"/>
        <v>269</v>
      </c>
      <c r="E13" s="23"/>
      <c r="F13" s="24">
        <v>2732694.0</v>
      </c>
      <c r="G13" s="24">
        <f t="shared" si="2"/>
        <v>5000000</v>
      </c>
      <c r="H13" s="24">
        <f t="shared" si="3"/>
        <v>10112931</v>
      </c>
      <c r="I13" s="24">
        <v>1.2845625E7</v>
      </c>
      <c r="J13" s="29">
        <f>5000000+I13</f>
        <v>17845625</v>
      </c>
      <c r="K13" s="26">
        <f t="shared" si="5"/>
        <v>3094556886</v>
      </c>
      <c r="L13" s="24">
        <f t="shared" ref="L13:M13" si="16">F13*C13</f>
        <v>836204364</v>
      </c>
      <c r="M13" s="24">
        <f t="shared" si="16"/>
        <v>1345000000</v>
      </c>
      <c r="N13" s="22"/>
      <c r="O13" s="23"/>
      <c r="P13" s="27"/>
      <c r="Q13" s="29"/>
    </row>
    <row r="14">
      <c r="A14" s="30" t="s">
        <v>8</v>
      </c>
      <c r="B14" s="64" t="s">
        <v>32</v>
      </c>
      <c r="C14" s="30">
        <v>1371.0</v>
      </c>
      <c r="D14" s="31">
        <f t="shared" ref="D14:D19" si="18">ROUND(C14*83%,0)</f>
        <v>1138</v>
      </c>
      <c r="E14" s="31">
        <f>SUM(C14:C19)</f>
        <v>19293</v>
      </c>
      <c r="F14" s="32">
        <v>2732694.0</v>
      </c>
      <c r="G14" s="32">
        <f t="shared" si="2"/>
        <v>75000</v>
      </c>
      <c r="H14" s="32">
        <f t="shared" si="3"/>
        <v>3221521</v>
      </c>
      <c r="I14" s="32">
        <v>5954215.0</v>
      </c>
      <c r="J14" s="33">
        <f>75000+I14</f>
        <v>6029215</v>
      </c>
      <c r="K14" s="34">
        <f t="shared" si="5"/>
        <v>4416705291</v>
      </c>
      <c r="L14" s="32">
        <f t="shared" ref="L14:M14" si="17">F14*C14</f>
        <v>3746523474</v>
      </c>
      <c r="M14" s="32">
        <f t="shared" si="17"/>
        <v>85350000</v>
      </c>
      <c r="N14" s="32">
        <f>SUM(M14:M19)</f>
        <v>27611857500</v>
      </c>
      <c r="O14" s="32">
        <f>SUM(L14:L19)</f>
        <v>52721865342</v>
      </c>
      <c r="P14" s="35">
        <f>SUM(K14:K19)</f>
        <v>62152804653</v>
      </c>
      <c r="Q14" s="36">
        <f>SUM(N14+O14+P14)</f>
        <v>142486527495</v>
      </c>
      <c r="S14" s="62">
        <f>Q15/R3</f>
        <v>0.002678696325</v>
      </c>
      <c r="T14" s="62">
        <f>S14*100</f>
        <v>0.2678696325</v>
      </c>
    </row>
    <row r="15">
      <c r="A15" s="30" t="s">
        <v>8</v>
      </c>
      <c r="B15" s="64" t="s">
        <v>33</v>
      </c>
      <c r="C15" s="30">
        <v>1602.0</v>
      </c>
      <c r="D15" s="31">
        <f t="shared" si="18"/>
        <v>1330</v>
      </c>
      <c r="E15" s="31"/>
      <c r="F15" s="32">
        <v>2732694.0</v>
      </c>
      <c r="G15" s="32">
        <f t="shared" si="2"/>
        <v>6075000</v>
      </c>
      <c r="H15" s="32">
        <f t="shared" si="3"/>
        <v>3221521</v>
      </c>
      <c r="I15" s="32">
        <v>5954215.0</v>
      </c>
      <c r="J15" s="35">
        <v>1.2029215E7</v>
      </c>
      <c r="K15" s="34">
        <f t="shared" si="5"/>
        <v>5160876642</v>
      </c>
      <c r="L15" s="32">
        <f t="shared" ref="L15:M15" si="19">F15*C15</f>
        <v>4377775788</v>
      </c>
      <c r="M15" s="32">
        <f t="shared" si="19"/>
        <v>8079750000</v>
      </c>
      <c r="N15" s="30"/>
      <c r="O15" s="31"/>
      <c r="P15" s="35"/>
      <c r="Q15" s="35">
        <v>1.42486527495E11</v>
      </c>
    </row>
    <row r="16">
      <c r="A16" s="30" t="s">
        <v>8</v>
      </c>
      <c r="B16" s="64" t="s">
        <v>34</v>
      </c>
      <c r="C16" s="30">
        <v>77.0</v>
      </c>
      <c r="D16" s="31">
        <f t="shared" si="18"/>
        <v>64</v>
      </c>
      <c r="E16" s="31"/>
      <c r="F16" s="32">
        <v>2732694.0</v>
      </c>
      <c r="G16" s="32">
        <f t="shared" si="2"/>
        <v>8560000</v>
      </c>
      <c r="H16" s="32">
        <f t="shared" si="3"/>
        <v>3221521</v>
      </c>
      <c r="I16" s="32">
        <v>5954215.0</v>
      </c>
      <c r="J16" s="35">
        <v>1.4514215E7</v>
      </c>
      <c r="K16" s="34">
        <f t="shared" si="5"/>
        <v>248057117</v>
      </c>
      <c r="L16" s="32">
        <f t="shared" ref="L16:M16" si="20">F16*C16</f>
        <v>210417438</v>
      </c>
      <c r="M16" s="32">
        <f t="shared" si="20"/>
        <v>547840000</v>
      </c>
      <c r="N16" s="30"/>
      <c r="O16" s="31"/>
      <c r="P16" s="35"/>
      <c r="Q16" s="35"/>
    </row>
    <row r="17">
      <c r="A17" s="30" t="s">
        <v>8</v>
      </c>
      <c r="B17" s="64" t="s">
        <v>35</v>
      </c>
      <c r="C17" s="30">
        <v>10097.0</v>
      </c>
      <c r="D17" s="31">
        <f t="shared" si="18"/>
        <v>8381</v>
      </c>
      <c r="E17" s="31"/>
      <c r="F17" s="32">
        <v>2732694.0</v>
      </c>
      <c r="G17" s="32">
        <f t="shared" si="2"/>
        <v>404500</v>
      </c>
      <c r="H17" s="32">
        <f t="shared" si="3"/>
        <v>3221521</v>
      </c>
      <c r="I17" s="32">
        <v>5954215.0</v>
      </c>
      <c r="J17" s="35">
        <v>6358715.0</v>
      </c>
      <c r="K17" s="34">
        <f t="shared" si="5"/>
        <v>32527697537</v>
      </c>
      <c r="L17" s="32">
        <f t="shared" ref="L17:M17" si="21">F17*C17</f>
        <v>27592011318</v>
      </c>
      <c r="M17" s="32">
        <f t="shared" si="21"/>
        <v>3390114500</v>
      </c>
      <c r="N17" s="30"/>
      <c r="O17" s="31"/>
      <c r="P17" s="35"/>
      <c r="Q17" s="35"/>
    </row>
    <row r="18">
      <c r="A18" s="30" t="s">
        <v>8</v>
      </c>
      <c r="B18" s="64" t="s">
        <v>36</v>
      </c>
      <c r="C18" s="30">
        <v>4407.0</v>
      </c>
      <c r="D18" s="31">
        <f t="shared" si="18"/>
        <v>3658</v>
      </c>
      <c r="E18" s="31"/>
      <c r="F18" s="32">
        <v>2732694.0</v>
      </c>
      <c r="G18" s="32">
        <f t="shared" si="2"/>
        <v>3253500</v>
      </c>
      <c r="H18" s="32">
        <f t="shared" si="3"/>
        <v>3221521</v>
      </c>
      <c r="I18" s="32">
        <v>5954215.0</v>
      </c>
      <c r="J18" s="35">
        <v>9207715.0</v>
      </c>
      <c r="K18" s="34">
        <f t="shared" si="5"/>
        <v>14197243047</v>
      </c>
      <c r="L18" s="32">
        <f t="shared" ref="L18:M18" si="22">F18*C18</f>
        <v>12042982458</v>
      </c>
      <c r="M18" s="32">
        <f t="shared" si="22"/>
        <v>11901303000</v>
      </c>
      <c r="N18" s="30"/>
      <c r="O18" s="31"/>
      <c r="P18" s="35"/>
      <c r="Q18" s="35"/>
    </row>
    <row r="19">
      <c r="A19" s="30" t="s">
        <v>8</v>
      </c>
      <c r="B19" s="64" t="s">
        <v>37</v>
      </c>
      <c r="C19" s="30">
        <v>1739.0</v>
      </c>
      <c r="D19" s="31">
        <f t="shared" si="18"/>
        <v>1443</v>
      </c>
      <c r="E19" s="31"/>
      <c r="F19" s="32">
        <v>2732694.0</v>
      </c>
      <c r="G19" s="32">
        <f t="shared" si="2"/>
        <v>2500000</v>
      </c>
      <c r="H19" s="32">
        <f t="shared" si="3"/>
        <v>3221521</v>
      </c>
      <c r="I19" s="32">
        <v>5954215.0</v>
      </c>
      <c r="J19" s="37">
        <f>2500000+I19</f>
        <v>8454215</v>
      </c>
      <c r="K19" s="34">
        <f t="shared" si="5"/>
        <v>5602225019</v>
      </c>
      <c r="L19" s="32">
        <f t="shared" ref="L19:M19" si="23">F19*C19</f>
        <v>4752154866</v>
      </c>
      <c r="M19" s="32">
        <f t="shared" si="23"/>
        <v>3607500000</v>
      </c>
      <c r="N19" s="30"/>
      <c r="O19" s="31"/>
      <c r="P19" s="35"/>
      <c r="Q19" s="38"/>
    </row>
    <row r="20">
      <c r="A20" s="39" t="s">
        <v>10</v>
      </c>
      <c r="B20" s="65" t="s">
        <v>32</v>
      </c>
      <c r="C20" s="39">
        <v>80.0</v>
      </c>
      <c r="D20" s="40"/>
      <c r="E20" s="40">
        <f>SUM(C20:C25)</f>
        <v>14190</v>
      </c>
      <c r="F20" s="41">
        <v>0.0</v>
      </c>
      <c r="G20" s="41">
        <f t="shared" si="2"/>
        <v>75000</v>
      </c>
      <c r="H20" s="41">
        <f t="shared" si="3"/>
        <v>76763</v>
      </c>
      <c r="I20" s="41">
        <v>76763.0</v>
      </c>
      <c r="J20" s="42">
        <f>75000+I20</f>
        <v>151763</v>
      </c>
      <c r="K20" s="43">
        <f t="shared" si="5"/>
        <v>6141040</v>
      </c>
      <c r="L20" s="41">
        <f t="shared" ref="L20:L31" si="24">F20*C20</f>
        <v>0</v>
      </c>
      <c r="M20" s="41">
        <f t="shared" ref="M20:M31" si="25">G20*C20</f>
        <v>6000000</v>
      </c>
      <c r="N20" s="43">
        <f>SUM(M20:M25)</f>
        <v>14126712000</v>
      </c>
      <c r="O20" s="39">
        <v>0.0</v>
      </c>
      <c r="P20" s="41">
        <f>SUM(K20:K25)</f>
        <v>1089266970</v>
      </c>
      <c r="Q20" s="42">
        <f>SUM(N20+O20+P20)</f>
        <v>15215978970</v>
      </c>
      <c r="S20" s="62">
        <f>Q21/R3</f>
        <v>0.0002860550234</v>
      </c>
      <c r="T20" s="62">
        <f>S20*100</f>
        <v>0.02860550234</v>
      </c>
    </row>
    <row r="21">
      <c r="A21" s="39" t="s">
        <v>10</v>
      </c>
      <c r="B21" s="65" t="s">
        <v>33</v>
      </c>
      <c r="C21" s="39">
        <v>3333.0</v>
      </c>
      <c r="D21" s="40"/>
      <c r="E21" s="40"/>
      <c r="F21" s="41">
        <v>0.0</v>
      </c>
      <c r="G21" s="41">
        <f t="shared" si="2"/>
        <v>1207000</v>
      </c>
      <c r="H21" s="41">
        <f t="shared" si="3"/>
        <v>76763</v>
      </c>
      <c r="I21" s="41">
        <v>76763.0</v>
      </c>
      <c r="J21" s="44">
        <v>1283763.0</v>
      </c>
      <c r="K21" s="43">
        <f t="shared" si="5"/>
        <v>255851079</v>
      </c>
      <c r="L21" s="41">
        <f t="shared" si="24"/>
        <v>0</v>
      </c>
      <c r="M21" s="41">
        <f t="shared" si="25"/>
        <v>4022931000</v>
      </c>
      <c r="N21" s="39"/>
      <c r="O21" s="40"/>
      <c r="P21" s="41"/>
      <c r="Q21" s="45">
        <v>1.521597897E10</v>
      </c>
    </row>
    <row r="22">
      <c r="A22" s="39" t="s">
        <v>10</v>
      </c>
      <c r="B22" s="65" t="s">
        <v>34</v>
      </c>
      <c r="C22" s="39">
        <v>353.0</v>
      </c>
      <c r="D22" s="40"/>
      <c r="E22" s="40"/>
      <c r="F22" s="41">
        <v>0.0</v>
      </c>
      <c r="G22" s="41">
        <f t="shared" si="2"/>
        <v>1340000</v>
      </c>
      <c r="H22" s="41">
        <f t="shared" si="3"/>
        <v>76763</v>
      </c>
      <c r="I22" s="41">
        <v>76763.0</v>
      </c>
      <c r="J22" s="44">
        <v>1416763.0</v>
      </c>
      <c r="K22" s="43">
        <f t="shared" si="5"/>
        <v>27097339</v>
      </c>
      <c r="L22" s="41">
        <f t="shared" si="24"/>
        <v>0</v>
      </c>
      <c r="M22" s="41">
        <f t="shared" si="25"/>
        <v>473020000</v>
      </c>
      <c r="N22" s="39"/>
      <c r="O22" s="40"/>
      <c r="P22" s="41"/>
      <c r="Q22" s="44"/>
    </row>
    <row r="23">
      <c r="A23" s="39" t="s">
        <v>10</v>
      </c>
      <c r="B23" s="65" t="s">
        <v>35</v>
      </c>
      <c r="C23" s="39">
        <v>1210.0</v>
      </c>
      <c r="D23" s="40"/>
      <c r="E23" s="40"/>
      <c r="F23" s="41">
        <v>0.0</v>
      </c>
      <c r="G23" s="41">
        <f t="shared" si="2"/>
        <v>296500</v>
      </c>
      <c r="H23" s="41">
        <f t="shared" si="3"/>
        <v>76763</v>
      </c>
      <c r="I23" s="41">
        <v>76763.0</v>
      </c>
      <c r="J23" s="44">
        <v>373263.0</v>
      </c>
      <c r="K23" s="43">
        <f t="shared" si="5"/>
        <v>92883230</v>
      </c>
      <c r="L23" s="41">
        <f t="shared" si="24"/>
        <v>0</v>
      </c>
      <c r="M23" s="41">
        <f t="shared" si="25"/>
        <v>358765000</v>
      </c>
      <c r="N23" s="39"/>
      <c r="O23" s="40"/>
      <c r="P23" s="41"/>
      <c r="Q23" s="44"/>
    </row>
    <row r="24">
      <c r="A24" s="39" t="s">
        <v>10</v>
      </c>
      <c r="B24" s="65" t="s">
        <v>36</v>
      </c>
      <c r="C24" s="39">
        <v>8666.0</v>
      </c>
      <c r="D24" s="40"/>
      <c r="E24" s="40"/>
      <c r="F24" s="41">
        <v>0.0</v>
      </c>
      <c r="G24" s="41">
        <f t="shared" si="2"/>
        <v>1006000</v>
      </c>
      <c r="H24" s="41">
        <f t="shared" si="3"/>
        <v>76763</v>
      </c>
      <c r="I24" s="41">
        <v>76763.0</v>
      </c>
      <c r="J24" s="44">
        <v>1082763.0</v>
      </c>
      <c r="K24" s="43">
        <f t="shared" si="5"/>
        <v>665228158</v>
      </c>
      <c r="L24" s="41">
        <f t="shared" si="24"/>
        <v>0</v>
      </c>
      <c r="M24" s="41">
        <f t="shared" si="25"/>
        <v>8717996000</v>
      </c>
      <c r="N24" s="39"/>
      <c r="O24" s="40"/>
      <c r="P24" s="41"/>
      <c r="Q24" s="44"/>
    </row>
    <row r="25">
      <c r="A25" s="39" t="s">
        <v>10</v>
      </c>
      <c r="B25" s="65" t="s">
        <v>37</v>
      </c>
      <c r="C25" s="39">
        <v>548.0</v>
      </c>
      <c r="D25" s="40"/>
      <c r="E25" s="40"/>
      <c r="F25" s="41">
        <v>0.0</v>
      </c>
      <c r="G25" s="41">
        <f t="shared" si="2"/>
        <v>1000000</v>
      </c>
      <c r="H25" s="41">
        <f t="shared" si="3"/>
        <v>76763</v>
      </c>
      <c r="I25" s="41">
        <v>76763.0</v>
      </c>
      <c r="J25" s="46">
        <f>1000000+I25</f>
        <v>1076763</v>
      </c>
      <c r="K25" s="43">
        <f t="shared" si="5"/>
        <v>42066124</v>
      </c>
      <c r="L25" s="41">
        <f t="shared" si="24"/>
        <v>0</v>
      </c>
      <c r="M25" s="41">
        <f t="shared" si="25"/>
        <v>548000000</v>
      </c>
      <c r="N25" s="39"/>
      <c r="O25" s="40"/>
      <c r="P25" s="41"/>
      <c r="Q25" s="46"/>
    </row>
    <row r="26">
      <c r="A26" s="47" t="s">
        <v>12</v>
      </c>
      <c r="B26" s="66" t="s">
        <v>32</v>
      </c>
      <c r="C26" s="47">
        <v>43.0</v>
      </c>
      <c r="D26" s="47"/>
      <c r="E26" s="47">
        <f>SUM(C26:C31)</f>
        <v>513</v>
      </c>
      <c r="F26" s="48">
        <v>5465389.0</v>
      </c>
      <c r="G26" s="48">
        <f t="shared" si="2"/>
        <v>300000</v>
      </c>
      <c r="H26" s="48">
        <f t="shared" si="3"/>
        <v>877082</v>
      </c>
      <c r="I26" s="48">
        <v>6342471.0</v>
      </c>
      <c r="J26" s="49">
        <f>300000+I26</f>
        <v>6642471</v>
      </c>
      <c r="K26" s="50">
        <f t="shared" si="5"/>
        <v>37714526</v>
      </c>
      <c r="L26" s="48">
        <f t="shared" si="24"/>
        <v>235011727</v>
      </c>
      <c r="M26" s="48">
        <f t="shared" si="25"/>
        <v>12900000</v>
      </c>
      <c r="N26" s="48">
        <f>SUM(M26:M31)</f>
        <v>2351124568</v>
      </c>
      <c r="O26" s="48">
        <f>SUM(L26:L31)</f>
        <v>2803744557</v>
      </c>
      <c r="P26" s="51">
        <f>SUM(K26:K31)</f>
        <v>449943066</v>
      </c>
      <c r="Q26" s="49">
        <f>SUM(N26+O26+P26)</f>
        <v>5604812191</v>
      </c>
      <c r="S26" s="62">
        <f>Q27/R3</f>
        <v>0.0001054060863</v>
      </c>
      <c r="T26" s="62">
        <f>S26*100</f>
        <v>0.01054060863</v>
      </c>
    </row>
    <row r="27">
      <c r="A27" s="47" t="s">
        <v>12</v>
      </c>
      <c r="B27" s="66" t="s">
        <v>33</v>
      </c>
      <c r="C27" s="47">
        <v>32.0</v>
      </c>
      <c r="D27" s="52"/>
      <c r="E27" s="52"/>
      <c r="F27" s="48">
        <v>5465389.0</v>
      </c>
      <c r="G27" s="48">
        <f t="shared" si="2"/>
        <v>18402611</v>
      </c>
      <c r="H27" s="48">
        <f t="shared" si="3"/>
        <v>877082</v>
      </c>
      <c r="I27" s="48">
        <v>6342471.0</v>
      </c>
      <c r="J27" s="53">
        <v>2.4745082E7</v>
      </c>
      <c r="K27" s="50">
        <f t="shared" si="5"/>
        <v>28066624</v>
      </c>
      <c r="L27" s="48">
        <f t="shared" si="24"/>
        <v>174892448</v>
      </c>
      <c r="M27" s="48">
        <f t="shared" si="25"/>
        <v>588883552</v>
      </c>
      <c r="N27" s="47"/>
      <c r="O27" s="52"/>
      <c r="P27" s="51"/>
      <c r="Q27" s="51">
        <v>5.606812191E9</v>
      </c>
    </row>
    <row r="28">
      <c r="A28" s="47" t="s">
        <v>12</v>
      </c>
      <c r="B28" s="66" t="s">
        <v>34</v>
      </c>
      <c r="C28" s="47">
        <v>5.0</v>
      </c>
      <c r="D28" s="52"/>
      <c r="E28" s="52"/>
      <c r="F28" s="48">
        <v>5465389.0</v>
      </c>
      <c r="G28" s="48">
        <f t="shared" si="2"/>
        <v>25857611</v>
      </c>
      <c r="H28" s="48">
        <f t="shared" si="3"/>
        <v>877082</v>
      </c>
      <c r="I28" s="48">
        <v>6342471.0</v>
      </c>
      <c r="J28" s="53">
        <v>3.2200082E7</v>
      </c>
      <c r="K28" s="50">
        <f t="shared" si="5"/>
        <v>4385410</v>
      </c>
      <c r="L28" s="48">
        <f t="shared" si="24"/>
        <v>27326945</v>
      </c>
      <c r="M28" s="48">
        <f t="shared" si="25"/>
        <v>129288055</v>
      </c>
      <c r="N28" s="47"/>
      <c r="O28" s="52"/>
      <c r="P28" s="51"/>
      <c r="Q28" s="51"/>
    </row>
    <row r="29">
      <c r="A29" s="47" t="s">
        <v>12</v>
      </c>
      <c r="B29" s="66" t="s">
        <v>35</v>
      </c>
      <c r="C29" s="47">
        <v>253.0</v>
      </c>
      <c r="D29" s="52"/>
      <c r="E29" s="52"/>
      <c r="F29" s="48">
        <v>5465389.0</v>
      </c>
      <c r="G29" s="48">
        <f t="shared" si="2"/>
        <v>932111</v>
      </c>
      <c r="H29" s="48">
        <f t="shared" si="3"/>
        <v>877082</v>
      </c>
      <c r="I29" s="48">
        <v>6342471.0</v>
      </c>
      <c r="J29" s="53">
        <v>7274582.0</v>
      </c>
      <c r="K29" s="50">
        <f t="shared" si="5"/>
        <v>221901746</v>
      </c>
      <c r="L29" s="48">
        <f t="shared" si="24"/>
        <v>1382743417</v>
      </c>
      <c r="M29" s="48">
        <f t="shared" si="25"/>
        <v>235824083</v>
      </c>
      <c r="N29" s="47"/>
      <c r="O29" s="52"/>
      <c r="P29" s="51"/>
      <c r="Q29" s="51"/>
    </row>
    <row r="30">
      <c r="A30" s="47" t="s">
        <v>12</v>
      </c>
      <c r="B30" s="66" t="s">
        <v>36</v>
      </c>
      <c r="C30" s="47">
        <v>98.0</v>
      </c>
      <c r="D30" s="52"/>
      <c r="E30" s="52"/>
      <c r="F30" s="48">
        <v>5465389.0</v>
      </c>
      <c r="G30" s="48">
        <f t="shared" si="2"/>
        <v>9941111</v>
      </c>
      <c r="H30" s="48">
        <f t="shared" si="3"/>
        <v>877082</v>
      </c>
      <c r="I30" s="48">
        <v>6342471.0</v>
      </c>
      <c r="J30" s="53">
        <v>1.6283582E7</v>
      </c>
      <c r="K30" s="50">
        <f t="shared" si="5"/>
        <v>85954036</v>
      </c>
      <c r="L30" s="48">
        <f t="shared" si="24"/>
        <v>535608122</v>
      </c>
      <c r="M30" s="48">
        <f t="shared" si="25"/>
        <v>974228878</v>
      </c>
      <c r="N30" s="47"/>
      <c r="O30" s="52"/>
      <c r="P30" s="51"/>
      <c r="Q30" s="51"/>
    </row>
    <row r="31">
      <c r="A31" s="47" t="s">
        <v>12</v>
      </c>
      <c r="B31" s="66" t="s">
        <v>37</v>
      </c>
      <c r="C31" s="47">
        <v>82.0</v>
      </c>
      <c r="D31" s="52"/>
      <c r="E31" s="52"/>
      <c r="F31" s="48">
        <v>5465389.0</v>
      </c>
      <c r="G31" s="48">
        <f t="shared" si="2"/>
        <v>5000000</v>
      </c>
      <c r="H31" s="48">
        <f t="shared" si="3"/>
        <v>877082</v>
      </c>
      <c r="I31" s="48">
        <v>6342471.0</v>
      </c>
      <c r="J31" s="54">
        <f>5000000+I31</f>
        <v>11342471</v>
      </c>
      <c r="K31" s="50">
        <f t="shared" si="5"/>
        <v>71920724</v>
      </c>
      <c r="L31" s="48">
        <f t="shared" si="24"/>
        <v>448161898</v>
      </c>
      <c r="M31" s="48">
        <f t="shared" si="25"/>
        <v>410000000</v>
      </c>
      <c r="N31" s="47"/>
      <c r="O31" s="52"/>
      <c r="P31" s="51"/>
      <c r="Q31" s="54"/>
    </row>
    <row r="32">
      <c r="B32" s="67"/>
      <c r="S32" s="62">
        <f>SUM(S2:S31)</f>
        <v>0.004164632698</v>
      </c>
    </row>
    <row r="33">
      <c r="B33" s="67"/>
      <c r="S33" s="82">
        <f>S32*100</f>
        <v>0.4164632698</v>
      </c>
    </row>
    <row r="34">
      <c r="B34" s="67"/>
    </row>
    <row r="35">
      <c r="B35" s="67"/>
      <c r="S35" s="70">
        <v>0.0041</v>
      </c>
    </row>
    <row r="36">
      <c r="B36" s="67"/>
    </row>
    <row r="37">
      <c r="B37" s="67"/>
    </row>
    <row r="38">
      <c r="B38" s="67"/>
    </row>
    <row r="39">
      <c r="B39" s="67"/>
    </row>
    <row r="40">
      <c r="B40" s="67"/>
    </row>
    <row r="41">
      <c r="B41" s="67"/>
    </row>
    <row r="42">
      <c r="B42" s="67"/>
    </row>
    <row r="43">
      <c r="B43" s="67"/>
    </row>
    <row r="44">
      <c r="B44" s="67"/>
    </row>
    <row r="45">
      <c r="B45" s="67"/>
    </row>
    <row r="46">
      <c r="B46" s="67"/>
    </row>
    <row r="47">
      <c r="B47" s="67"/>
    </row>
    <row r="48">
      <c r="B48" s="67"/>
    </row>
    <row r="49">
      <c r="B49" s="67"/>
    </row>
    <row r="50">
      <c r="B50" s="67"/>
    </row>
    <row r="51">
      <c r="B51" s="67"/>
    </row>
    <row r="52">
      <c r="B52" s="67"/>
    </row>
    <row r="53">
      <c r="B53" s="67"/>
    </row>
    <row r="54">
      <c r="B54" s="67"/>
    </row>
    <row r="55">
      <c r="B55" s="67"/>
    </row>
    <row r="56">
      <c r="B56" s="67"/>
    </row>
    <row r="57">
      <c r="B57" s="67"/>
    </row>
    <row r="58">
      <c r="B58" s="67"/>
    </row>
    <row r="59">
      <c r="B59" s="67"/>
    </row>
    <row r="60">
      <c r="B60" s="67"/>
    </row>
    <row r="61">
      <c r="B61" s="67"/>
    </row>
    <row r="62">
      <c r="B62" s="67"/>
    </row>
    <row r="63">
      <c r="B63" s="67"/>
    </row>
    <row r="64">
      <c r="B64" s="67"/>
    </row>
    <row r="65">
      <c r="B65" s="67"/>
    </row>
    <row r="66">
      <c r="B66" s="67"/>
    </row>
    <row r="67">
      <c r="B67" s="67"/>
    </row>
    <row r="68">
      <c r="B68" s="67"/>
    </row>
    <row r="69">
      <c r="B69" s="67"/>
    </row>
    <row r="70">
      <c r="B70" s="67"/>
    </row>
    <row r="71">
      <c r="B71" s="67"/>
    </row>
    <row r="72">
      <c r="B72" s="67"/>
    </row>
    <row r="73">
      <c r="B73" s="67"/>
    </row>
    <row r="74">
      <c r="B74" s="67"/>
    </row>
    <row r="75">
      <c r="B75" s="67"/>
    </row>
    <row r="76">
      <c r="B76" s="67"/>
    </row>
    <row r="77">
      <c r="B77" s="67"/>
    </row>
    <row r="78">
      <c r="B78" s="67"/>
    </row>
    <row r="79">
      <c r="B79" s="67"/>
    </row>
    <row r="80">
      <c r="B80" s="67"/>
    </row>
    <row r="81">
      <c r="B81" s="67"/>
    </row>
    <row r="82">
      <c r="B82" s="67"/>
    </row>
    <row r="83">
      <c r="B83" s="67"/>
    </row>
    <row r="84">
      <c r="B84" s="67"/>
    </row>
    <row r="85">
      <c r="B85" s="67"/>
    </row>
    <row r="86">
      <c r="B86" s="67"/>
    </row>
    <row r="87">
      <c r="B87" s="67"/>
    </row>
    <row r="88">
      <c r="B88" s="67"/>
    </row>
    <row r="89">
      <c r="B89" s="67"/>
    </row>
    <row r="90">
      <c r="B90" s="67"/>
    </row>
    <row r="91">
      <c r="B91" s="67"/>
    </row>
    <row r="92">
      <c r="B92" s="67"/>
    </row>
    <row r="93">
      <c r="B93" s="67"/>
    </row>
    <row r="94">
      <c r="B94" s="67"/>
    </row>
    <row r="95">
      <c r="B95" s="67"/>
    </row>
    <row r="96">
      <c r="B96" s="67"/>
    </row>
    <row r="97">
      <c r="B97" s="67"/>
    </row>
    <row r="98">
      <c r="B98" s="67"/>
    </row>
    <row r="99">
      <c r="B99" s="67"/>
    </row>
    <row r="100">
      <c r="B100" s="67"/>
    </row>
    <row r="101">
      <c r="B101" s="67"/>
    </row>
    <row r="102">
      <c r="B102" s="67"/>
    </row>
    <row r="103">
      <c r="B103" s="67"/>
    </row>
    <row r="104">
      <c r="B104" s="67"/>
    </row>
    <row r="105">
      <c r="B105" s="67"/>
    </row>
    <row r="106">
      <c r="B106" s="67"/>
    </row>
    <row r="107">
      <c r="B107" s="67"/>
    </row>
    <row r="108">
      <c r="B108" s="67"/>
    </row>
    <row r="109">
      <c r="B109" s="67"/>
    </row>
    <row r="110">
      <c r="B110" s="67"/>
    </row>
    <row r="111">
      <c r="B111" s="67"/>
    </row>
    <row r="112">
      <c r="B112" s="67"/>
    </row>
    <row r="113">
      <c r="B113" s="67"/>
    </row>
    <row r="114">
      <c r="B114" s="67"/>
    </row>
    <row r="115">
      <c r="B115" s="67"/>
    </row>
    <row r="116">
      <c r="B116" s="67"/>
    </row>
    <row r="117">
      <c r="B117" s="67"/>
    </row>
    <row r="118">
      <c r="B118" s="67"/>
    </row>
    <row r="119">
      <c r="B119" s="67"/>
    </row>
    <row r="120">
      <c r="B120" s="67"/>
    </row>
    <row r="121">
      <c r="B121" s="67"/>
    </row>
    <row r="122">
      <c r="B122" s="67"/>
    </row>
    <row r="123">
      <c r="B123" s="67"/>
    </row>
    <row r="124">
      <c r="B124" s="67"/>
    </row>
    <row r="125">
      <c r="B125" s="67"/>
    </row>
    <row r="126">
      <c r="B126" s="67"/>
    </row>
    <row r="127">
      <c r="B127" s="67"/>
    </row>
    <row r="128">
      <c r="B128" s="67"/>
    </row>
    <row r="129">
      <c r="B129" s="67"/>
    </row>
    <row r="130">
      <c r="B130" s="67"/>
    </row>
    <row r="131">
      <c r="B131" s="67"/>
    </row>
    <row r="132">
      <c r="B132" s="67"/>
    </row>
    <row r="133">
      <c r="B133" s="67"/>
    </row>
    <row r="134">
      <c r="B134" s="67"/>
    </row>
    <row r="135">
      <c r="B135" s="67"/>
    </row>
    <row r="136">
      <c r="B136" s="67"/>
    </row>
    <row r="137">
      <c r="B137" s="67"/>
    </row>
    <row r="138">
      <c r="B138" s="67"/>
    </row>
    <row r="139">
      <c r="B139" s="67"/>
    </row>
    <row r="140">
      <c r="B140" s="67"/>
    </row>
    <row r="141">
      <c r="B141" s="67"/>
    </row>
    <row r="142">
      <c r="B142" s="67"/>
    </row>
    <row r="143">
      <c r="B143" s="67"/>
    </row>
    <row r="144">
      <c r="B144" s="67"/>
    </row>
    <row r="145">
      <c r="B145" s="67"/>
    </row>
    <row r="146">
      <c r="B146" s="67"/>
    </row>
    <row r="147">
      <c r="B147" s="67"/>
    </row>
    <row r="148">
      <c r="B148" s="67"/>
    </row>
    <row r="149">
      <c r="B149" s="67"/>
    </row>
    <row r="150">
      <c r="B150" s="67"/>
    </row>
    <row r="151">
      <c r="B151" s="67"/>
    </row>
    <row r="152">
      <c r="B152" s="67"/>
    </row>
    <row r="153">
      <c r="B153" s="67"/>
    </row>
    <row r="154">
      <c r="B154" s="67"/>
    </row>
    <row r="155">
      <c r="B155" s="67"/>
    </row>
    <row r="156">
      <c r="B156" s="67"/>
    </row>
    <row r="157">
      <c r="B157" s="67"/>
    </row>
    <row r="158">
      <c r="B158" s="67"/>
    </row>
    <row r="159">
      <c r="B159" s="67"/>
    </row>
    <row r="160">
      <c r="B160" s="67"/>
    </row>
    <row r="161">
      <c r="B161" s="67"/>
    </row>
    <row r="162">
      <c r="B162" s="67"/>
    </row>
    <row r="163">
      <c r="B163" s="67"/>
    </row>
    <row r="164">
      <c r="B164" s="67"/>
    </row>
    <row r="165">
      <c r="B165" s="67"/>
    </row>
    <row r="166">
      <c r="B166" s="67"/>
    </row>
    <row r="167">
      <c r="B167" s="67"/>
    </row>
    <row r="168">
      <c r="B168" s="67"/>
    </row>
    <row r="169">
      <c r="B169" s="67"/>
    </row>
    <row r="170">
      <c r="B170" s="67"/>
    </row>
    <row r="171">
      <c r="B171" s="67"/>
    </row>
    <row r="172">
      <c r="B172" s="67"/>
    </row>
    <row r="173">
      <c r="B173" s="67"/>
    </row>
    <row r="174">
      <c r="B174" s="67"/>
    </row>
    <row r="175">
      <c r="B175" s="67"/>
    </row>
    <row r="176">
      <c r="B176" s="67"/>
    </row>
    <row r="177">
      <c r="B177" s="67"/>
    </row>
    <row r="178">
      <c r="B178" s="67"/>
    </row>
    <row r="179">
      <c r="B179" s="67"/>
    </row>
    <row r="180">
      <c r="B180" s="67"/>
    </row>
    <row r="181">
      <c r="B181" s="67"/>
    </row>
    <row r="182">
      <c r="B182" s="67"/>
    </row>
    <row r="183">
      <c r="B183" s="67"/>
    </row>
    <row r="184">
      <c r="B184" s="67"/>
    </row>
    <row r="185">
      <c r="B185" s="67"/>
    </row>
    <row r="186">
      <c r="B186" s="67"/>
    </row>
    <row r="187">
      <c r="B187" s="67"/>
    </row>
    <row r="188">
      <c r="B188" s="67"/>
    </row>
    <row r="189">
      <c r="B189" s="67"/>
    </row>
    <row r="190">
      <c r="B190" s="67"/>
    </row>
    <row r="191">
      <c r="B191" s="67"/>
    </row>
    <row r="192">
      <c r="B192" s="67"/>
    </row>
    <row r="193">
      <c r="B193" s="67"/>
    </row>
    <row r="194">
      <c r="B194" s="67"/>
    </row>
    <row r="195">
      <c r="B195" s="67"/>
    </row>
    <row r="196">
      <c r="B196" s="67"/>
    </row>
    <row r="197">
      <c r="B197" s="67"/>
    </row>
    <row r="198">
      <c r="B198" s="67"/>
    </row>
    <row r="199">
      <c r="B199" s="67"/>
    </row>
    <row r="200">
      <c r="B200" s="67"/>
    </row>
    <row r="201">
      <c r="B201" s="67"/>
    </row>
    <row r="202">
      <c r="B202" s="67"/>
    </row>
    <row r="203">
      <c r="B203" s="67"/>
    </row>
    <row r="204">
      <c r="B204" s="67"/>
    </row>
    <row r="205">
      <c r="B205" s="67"/>
    </row>
    <row r="206">
      <c r="B206" s="67"/>
    </row>
    <row r="207">
      <c r="B207" s="67"/>
    </row>
    <row r="208">
      <c r="B208" s="67"/>
    </row>
    <row r="209">
      <c r="B209" s="67"/>
    </row>
    <row r="210">
      <c r="B210" s="67"/>
    </row>
    <row r="211">
      <c r="B211" s="67"/>
    </row>
    <row r="212">
      <c r="B212" s="67"/>
    </row>
    <row r="213">
      <c r="B213" s="67"/>
    </row>
    <row r="214">
      <c r="B214" s="67"/>
    </row>
    <row r="215">
      <c r="B215" s="67"/>
    </row>
    <row r="216">
      <c r="B216" s="67"/>
    </row>
    <row r="217">
      <c r="B217" s="67"/>
    </row>
    <row r="218">
      <c r="B218" s="67"/>
    </row>
    <row r="219">
      <c r="B219" s="67"/>
    </row>
    <row r="220">
      <c r="B220" s="67"/>
    </row>
    <row r="221">
      <c r="B221" s="67"/>
    </row>
    <row r="222">
      <c r="B222" s="67"/>
    </row>
    <row r="223">
      <c r="B223" s="67"/>
    </row>
    <row r="224">
      <c r="B224" s="67"/>
    </row>
    <row r="225">
      <c r="B225" s="67"/>
    </row>
    <row r="226">
      <c r="B226" s="67"/>
    </row>
    <row r="227">
      <c r="B227" s="67"/>
    </row>
    <row r="228">
      <c r="B228" s="67"/>
    </row>
    <row r="229">
      <c r="B229" s="67"/>
    </row>
    <row r="230">
      <c r="B230" s="67"/>
    </row>
    <row r="231">
      <c r="B231" s="67"/>
    </row>
    <row r="232">
      <c r="B232" s="67"/>
    </row>
    <row r="233">
      <c r="B233" s="67"/>
    </row>
    <row r="234">
      <c r="B234" s="67"/>
    </row>
    <row r="235">
      <c r="B235" s="67"/>
    </row>
    <row r="236">
      <c r="B236" s="67"/>
    </row>
    <row r="237">
      <c r="B237" s="67"/>
    </row>
    <row r="238">
      <c r="B238" s="67"/>
    </row>
    <row r="239">
      <c r="B239" s="67"/>
    </row>
    <row r="240">
      <c r="B240" s="67"/>
    </row>
    <row r="241">
      <c r="B241" s="67"/>
    </row>
    <row r="242">
      <c r="B242" s="67"/>
    </row>
    <row r="243">
      <c r="B243" s="67"/>
    </row>
    <row r="244">
      <c r="B244" s="67"/>
    </row>
    <row r="245">
      <c r="B245" s="67"/>
    </row>
    <row r="246">
      <c r="B246" s="67"/>
    </row>
    <row r="247">
      <c r="B247" s="67"/>
    </row>
    <row r="248">
      <c r="B248" s="67"/>
    </row>
    <row r="249">
      <c r="B249" s="67"/>
    </row>
    <row r="250">
      <c r="B250" s="67"/>
    </row>
    <row r="251">
      <c r="B251" s="67"/>
    </row>
    <row r="252">
      <c r="B252" s="67"/>
    </row>
    <row r="253">
      <c r="B253" s="67"/>
    </row>
    <row r="254">
      <c r="B254" s="67"/>
    </row>
    <row r="255">
      <c r="B255" s="67"/>
    </row>
    <row r="256">
      <c r="B256" s="67"/>
    </row>
    <row r="257">
      <c r="B257" s="67"/>
    </row>
    <row r="258">
      <c r="B258" s="67"/>
    </row>
    <row r="259">
      <c r="B259" s="67"/>
    </row>
    <row r="260">
      <c r="B260" s="67"/>
    </row>
    <row r="261">
      <c r="B261" s="67"/>
    </row>
    <row r="262">
      <c r="B262" s="67"/>
    </row>
    <row r="263">
      <c r="B263" s="67"/>
    </row>
    <row r="264">
      <c r="B264" s="67"/>
    </row>
    <row r="265">
      <c r="B265" s="67"/>
    </row>
    <row r="266">
      <c r="B266" s="67"/>
    </row>
    <row r="267">
      <c r="B267" s="67"/>
    </row>
    <row r="268">
      <c r="B268" s="67"/>
    </row>
    <row r="269">
      <c r="B269" s="67"/>
    </row>
    <row r="270">
      <c r="B270" s="67"/>
    </row>
    <row r="271">
      <c r="B271" s="67"/>
    </row>
    <row r="272">
      <c r="B272" s="67"/>
    </row>
    <row r="273">
      <c r="B273" s="67"/>
    </row>
    <row r="274">
      <c r="B274" s="67"/>
    </row>
    <row r="275">
      <c r="B275" s="67"/>
    </row>
    <row r="276">
      <c r="B276" s="67"/>
    </row>
    <row r="277">
      <c r="B277" s="67"/>
    </row>
    <row r="278">
      <c r="B278" s="67"/>
    </row>
    <row r="279">
      <c r="B279" s="67"/>
    </row>
    <row r="280">
      <c r="B280" s="67"/>
    </row>
    <row r="281">
      <c r="B281" s="67"/>
    </row>
    <row r="282">
      <c r="B282" s="67"/>
    </row>
    <row r="283">
      <c r="B283" s="67"/>
    </row>
    <row r="284">
      <c r="B284" s="67"/>
    </row>
    <row r="285">
      <c r="B285" s="67"/>
    </row>
    <row r="286">
      <c r="B286" s="67"/>
    </row>
    <row r="287">
      <c r="B287" s="67"/>
    </row>
    <row r="288">
      <c r="B288" s="67"/>
    </row>
    <row r="289">
      <c r="B289" s="67"/>
    </row>
    <row r="290">
      <c r="B290" s="67"/>
    </row>
    <row r="291">
      <c r="B291" s="67"/>
    </row>
    <row r="292">
      <c r="B292" s="67"/>
    </row>
    <row r="293">
      <c r="B293" s="67"/>
    </row>
    <row r="294">
      <c r="B294" s="67"/>
    </row>
    <row r="295">
      <c r="B295" s="67"/>
    </row>
    <row r="296">
      <c r="B296" s="67"/>
    </row>
    <row r="297">
      <c r="B297" s="67"/>
    </row>
    <row r="298">
      <c r="B298" s="67"/>
    </row>
    <row r="299">
      <c r="B299" s="67"/>
    </row>
    <row r="300">
      <c r="B300" s="67"/>
    </row>
    <row r="301">
      <c r="B301" s="67"/>
    </row>
    <row r="302">
      <c r="B302" s="67"/>
    </row>
    <row r="303">
      <c r="B303" s="67"/>
    </row>
    <row r="304">
      <c r="B304" s="67"/>
    </row>
    <row r="305">
      <c r="B305" s="67"/>
    </row>
    <row r="306">
      <c r="B306" s="67"/>
    </row>
    <row r="307">
      <c r="B307" s="67"/>
    </row>
    <row r="308">
      <c r="B308" s="67"/>
    </row>
    <row r="309">
      <c r="B309" s="67"/>
    </row>
    <row r="310">
      <c r="B310" s="67"/>
    </row>
    <row r="311">
      <c r="B311" s="67"/>
    </row>
    <row r="312">
      <c r="B312" s="67"/>
    </row>
    <row r="313">
      <c r="B313" s="67"/>
    </row>
    <row r="314">
      <c r="B314" s="67"/>
    </row>
    <row r="315">
      <c r="B315" s="67"/>
    </row>
    <row r="316">
      <c r="B316" s="67"/>
    </row>
    <row r="317">
      <c r="B317" s="67"/>
    </row>
    <row r="318">
      <c r="B318" s="67"/>
    </row>
    <row r="319">
      <c r="B319" s="67"/>
    </row>
    <row r="320">
      <c r="B320" s="67"/>
    </row>
    <row r="321">
      <c r="B321" s="67"/>
    </row>
    <row r="322">
      <c r="B322" s="67"/>
    </row>
    <row r="323">
      <c r="B323" s="67"/>
    </row>
    <row r="324">
      <c r="B324" s="67"/>
    </row>
    <row r="325">
      <c r="B325" s="67"/>
    </row>
    <row r="326">
      <c r="B326" s="67"/>
    </row>
    <row r="327">
      <c r="B327" s="67"/>
    </row>
    <row r="328">
      <c r="B328" s="67"/>
    </row>
    <row r="329">
      <c r="B329" s="67"/>
    </row>
    <row r="330">
      <c r="B330" s="67"/>
    </row>
    <row r="331">
      <c r="B331" s="67"/>
    </row>
    <row r="332">
      <c r="B332" s="67"/>
    </row>
    <row r="333">
      <c r="B333" s="67"/>
    </row>
    <row r="334">
      <c r="B334" s="67"/>
    </row>
    <row r="335">
      <c r="B335" s="67"/>
    </row>
    <row r="336">
      <c r="B336" s="67"/>
    </row>
    <row r="337">
      <c r="B337" s="67"/>
    </row>
    <row r="338">
      <c r="B338" s="67"/>
    </row>
    <row r="339">
      <c r="B339" s="67"/>
    </row>
    <row r="340">
      <c r="B340" s="67"/>
    </row>
    <row r="341">
      <c r="B341" s="67"/>
    </row>
    <row r="342">
      <c r="B342" s="67"/>
    </row>
    <row r="343">
      <c r="B343" s="67"/>
    </row>
    <row r="344">
      <c r="B344" s="67"/>
    </row>
    <row r="345">
      <c r="B345" s="67"/>
    </row>
    <row r="346">
      <c r="B346" s="67"/>
    </row>
    <row r="347">
      <c r="B347" s="67"/>
    </row>
    <row r="348">
      <c r="B348" s="67"/>
    </row>
    <row r="349">
      <c r="B349" s="67"/>
    </row>
    <row r="350">
      <c r="B350" s="67"/>
    </row>
    <row r="351">
      <c r="B351" s="67"/>
    </row>
    <row r="352">
      <c r="B352" s="67"/>
    </row>
    <row r="353">
      <c r="B353" s="67"/>
    </row>
    <row r="354">
      <c r="B354" s="67"/>
    </row>
    <row r="355">
      <c r="B355" s="67"/>
    </row>
    <row r="356">
      <c r="B356" s="67"/>
    </row>
    <row r="357">
      <c r="B357" s="67"/>
    </row>
    <row r="358">
      <c r="B358" s="67"/>
    </row>
    <row r="359">
      <c r="B359" s="67"/>
    </row>
    <row r="360">
      <c r="B360" s="67"/>
    </row>
    <row r="361">
      <c r="B361" s="67"/>
    </row>
    <row r="362">
      <c r="B362" s="67"/>
    </row>
    <row r="363">
      <c r="B363" s="67"/>
    </row>
    <row r="364">
      <c r="B364" s="67"/>
    </row>
    <row r="365">
      <c r="B365" s="67"/>
    </row>
    <row r="366">
      <c r="B366" s="67"/>
    </row>
    <row r="367">
      <c r="B367" s="67"/>
    </row>
    <row r="368">
      <c r="B368" s="67"/>
    </row>
    <row r="369">
      <c r="B369" s="67"/>
    </row>
    <row r="370">
      <c r="B370" s="67"/>
    </row>
    <row r="371">
      <c r="B371" s="67"/>
    </row>
    <row r="372">
      <c r="B372" s="67"/>
    </row>
    <row r="373">
      <c r="B373" s="67"/>
    </row>
    <row r="374">
      <c r="B374" s="67"/>
    </row>
    <row r="375">
      <c r="B375" s="67"/>
    </row>
    <row r="376">
      <c r="B376" s="67"/>
    </row>
    <row r="377">
      <c r="B377" s="67"/>
    </row>
    <row r="378">
      <c r="B378" s="67"/>
    </row>
    <row r="379">
      <c r="B379" s="67"/>
    </row>
    <row r="380">
      <c r="B380" s="67"/>
    </row>
    <row r="381">
      <c r="B381" s="67"/>
    </row>
    <row r="382">
      <c r="B382" s="67"/>
    </row>
    <row r="383">
      <c r="B383" s="67"/>
    </row>
    <row r="384">
      <c r="B384" s="67"/>
    </row>
    <row r="385">
      <c r="B385" s="67"/>
    </row>
    <row r="386">
      <c r="B386" s="67"/>
    </row>
    <row r="387">
      <c r="B387" s="67"/>
    </row>
    <row r="388">
      <c r="B388" s="67"/>
    </row>
    <row r="389">
      <c r="B389" s="67"/>
    </row>
    <row r="390">
      <c r="B390" s="67"/>
    </row>
    <row r="391">
      <c r="B391" s="67"/>
    </row>
    <row r="392">
      <c r="B392" s="67"/>
    </row>
    <row r="393">
      <c r="B393" s="67"/>
    </row>
    <row r="394">
      <c r="B394" s="67"/>
    </row>
    <row r="395">
      <c r="B395" s="67"/>
    </row>
    <row r="396">
      <c r="B396" s="67"/>
    </row>
    <row r="397">
      <c r="B397" s="67"/>
    </row>
    <row r="398">
      <c r="B398" s="67"/>
    </row>
    <row r="399">
      <c r="B399" s="67"/>
    </row>
    <row r="400">
      <c r="B400" s="67"/>
    </row>
    <row r="401">
      <c r="B401" s="67"/>
    </row>
    <row r="402">
      <c r="B402" s="67"/>
    </row>
    <row r="403">
      <c r="B403" s="67"/>
    </row>
    <row r="404">
      <c r="B404" s="67"/>
    </row>
    <row r="405">
      <c r="B405" s="67"/>
    </row>
    <row r="406">
      <c r="B406" s="67"/>
    </row>
    <row r="407">
      <c r="B407" s="67"/>
    </row>
    <row r="408">
      <c r="B408" s="67"/>
    </row>
    <row r="409">
      <c r="B409" s="67"/>
    </row>
    <row r="410">
      <c r="B410" s="67"/>
    </row>
    <row r="411">
      <c r="B411" s="67"/>
    </row>
    <row r="412">
      <c r="B412" s="67"/>
    </row>
    <row r="413">
      <c r="B413" s="67"/>
    </row>
    <row r="414">
      <c r="B414" s="67"/>
    </row>
    <row r="415">
      <c r="B415" s="67"/>
    </row>
    <row r="416">
      <c r="B416" s="67"/>
    </row>
    <row r="417">
      <c r="B417" s="67"/>
    </row>
    <row r="418">
      <c r="B418" s="67"/>
    </row>
    <row r="419">
      <c r="B419" s="67"/>
    </row>
    <row r="420">
      <c r="B420" s="67"/>
    </row>
    <row r="421">
      <c r="B421" s="67"/>
    </row>
    <row r="422">
      <c r="B422" s="67"/>
    </row>
    <row r="423">
      <c r="B423" s="67"/>
    </row>
    <row r="424">
      <c r="B424" s="67"/>
    </row>
    <row r="425">
      <c r="B425" s="67"/>
    </row>
    <row r="426">
      <c r="B426" s="67"/>
    </row>
    <row r="427">
      <c r="B427" s="67"/>
    </row>
    <row r="428">
      <c r="B428" s="67"/>
    </row>
    <row r="429">
      <c r="B429" s="67"/>
    </row>
    <row r="430">
      <c r="B430" s="67"/>
    </row>
    <row r="431">
      <c r="B431" s="67"/>
    </row>
    <row r="432">
      <c r="B432" s="67"/>
    </row>
    <row r="433">
      <c r="B433" s="67"/>
    </row>
    <row r="434">
      <c r="B434" s="67"/>
    </row>
    <row r="435">
      <c r="B435" s="67"/>
    </row>
    <row r="436">
      <c r="B436" s="67"/>
    </row>
    <row r="437">
      <c r="B437" s="67"/>
    </row>
    <row r="438">
      <c r="B438" s="67"/>
    </row>
    <row r="439">
      <c r="B439" s="67"/>
    </row>
    <row r="440">
      <c r="B440" s="67"/>
    </row>
    <row r="441">
      <c r="B441" s="67"/>
    </row>
    <row r="442">
      <c r="B442" s="67"/>
    </row>
    <row r="443">
      <c r="B443" s="67"/>
    </row>
    <row r="444">
      <c r="B444" s="67"/>
    </row>
    <row r="445">
      <c r="B445" s="67"/>
    </row>
    <row r="446">
      <c r="B446" s="67"/>
    </row>
    <row r="447">
      <c r="B447" s="67"/>
    </row>
    <row r="448">
      <c r="B448" s="67"/>
    </row>
    <row r="449">
      <c r="B449" s="67"/>
    </row>
    <row r="450">
      <c r="B450" s="67"/>
    </row>
    <row r="451">
      <c r="B451" s="67"/>
    </row>
    <row r="452">
      <c r="B452" s="67"/>
    </row>
    <row r="453">
      <c r="B453" s="67"/>
    </row>
    <row r="454">
      <c r="B454" s="67"/>
    </row>
    <row r="455">
      <c r="B455" s="67"/>
    </row>
    <row r="456">
      <c r="B456" s="67"/>
    </row>
    <row r="457">
      <c r="B457" s="67"/>
    </row>
    <row r="458">
      <c r="B458" s="67"/>
    </row>
    <row r="459">
      <c r="B459" s="67"/>
    </row>
    <row r="460">
      <c r="B460" s="67"/>
    </row>
    <row r="461">
      <c r="B461" s="67"/>
    </row>
    <row r="462">
      <c r="B462" s="67"/>
    </row>
    <row r="463">
      <c r="B463" s="67"/>
    </row>
    <row r="464">
      <c r="B464" s="67"/>
    </row>
    <row r="465">
      <c r="B465" s="67"/>
    </row>
    <row r="466">
      <c r="B466" s="67"/>
    </row>
    <row r="467">
      <c r="B467" s="67"/>
    </row>
    <row r="468">
      <c r="B468" s="67"/>
    </row>
    <row r="469">
      <c r="B469" s="67"/>
    </row>
    <row r="470">
      <c r="B470" s="67"/>
    </row>
    <row r="471">
      <c r="B471" s="67"/>
    </row>
    <row r="472">
      <c r="B472" s="67"/>
    </row>
    <row r="473">
      <c r="B473" s="67"/>
    </row>
    <row r="474">
      <c r="B474" s="67"/>
    </row>
    <row r="475">
      <c r="B475" s="67"/>
    </row>
    <row r="476">
      <c r="B476" s="67"/>
    </row>
    <row r="477">
      <c r="B477" s="67"/>
    </row>
    <row r="478">
      <c r="B478" s="67"/>
    </row>
    <row r="479">
      <c r="B479" s="67"/>
    </row>
    <row r="480">
      <c r="B480" s="67"/>
    </row>
    <row r="481">
      <c r="B481" s="67"/>
    </row>
    <row r="482">
      <c r="B482" s="67"/>
    </row>
    <row r="483">
      <c r="B483" s="67"/>
    </row>
    <row r="484">
      <c r="B484" s="67"/>
    </row>
    <row r="485">
      <c r="B485" s="67"/>
    </row>
    <row r="486">
      <c r="B486" s="67"/>
    </row>
    <row r="487">
      <c r="B487" s="67"/>
    </row>
    <row r="488">
      <c r="B488" s="67"/>
    </row>
    <row r="489">
      <c r="B489" s="67"/>
    </row>
    <row r="490">
      <c r="B490" s="67"/>
    </row>
    <row r="491">
      <c r="B491" s="67"/>
    </row>
    <row r="492">
      <c r="B492" s="67"/>
    </row>
    <row r="493">
      <c r="B493" s="67"/>
    </row>
    <row r="494">
      <c r="B494" s="67"/>
    </row>
    <row r="495">
      <c r="B495" s="67"/>
    </row>
    <row r="496">
      <c r="B496" s="67"/>
    </row>
    <row r="497">
      <c r="B497" s="67"/>
    </row>
    <row r="498">
      <c r="B498" s="67"/>
    </row>
    <row r="499">
      <c r="B499" s="67"/>
    </row>
    <row r="500">
      <c r="B500" s="67"/>
    </row>
    <row r="501">
      <c r="B501" s="67"/>
    </row>
    <row r="502">
      <c r="B502" s="67"/>
    </row>
    <row r="503">
      <c r="B503" s="67"/>
    </row>
    <row r="504">
      <c r="B504" s="67"/>
    </row>
    <row r="505">
      <c r="B505" s="67"/>
    </row>
    <row r="506">
      <c r="B506" s="67"/>
    </row>
    <row r="507">
      <c r="B507" s="67"/>
    </row>
    <row r="508">
      <c r="B508" s="67"/>
    </row>
    <row r="509">
      <c r="B509" s="67"/>
    </row>
    <row r="510">
      <c r="B510" s="67"/>
    </row>
    <row r="511">
      <c r="B511" s="67"/>
    </row>
    <row r="512">
      <c r="B512" s="67"/>
    </row>
    <row r="513">
      <c r="B513" s="67"/>
    </row>
    <row r="514">
      <c r="B514" s="67"/>
    </row>
    <row r="515">
      <c r="B515" s="67"/>
    </row>
    <row r="516">
      <c r="B516" s="67"/>
    </row>
    <row r="517">
      <c r="B517" s="67"/>
    </row>
    <row r="518">
      <c r="B518" s="67"/>
    </row>
    <row r="519">
      <c r="B519" s="67"/>
    </row>
    <row r="520">
      <c r="B520" s="67"/>
    </row>
    <row r="521">
      <c r="B521" s="67"/>
    </row>
    <row r="522">
      <c r="B522" s="67"/>
    </row>
    <row r="523">
      <c r="B523" s="67"/>
    </row>
    <row r="524">
      <c r="B524" s="67"/>
    </row>
    <row r="525">
      <c r="B525" s="67"/>
    </row>
    <row r="526">
      <c r="B526" s="67"/>
    </row>
    <row r="527">
      <c r="B527" s="67"/>
    </row>
    <row r="528">
      <c r="B528" s="67"/>
    </row>
    <row r="529">
      <c r="B529" s="67"/>
    </row>
    <row r="530">
      <c r="B530" s="67"/>
    </row>
    <row r="531">
      <c r="B531" s="67"/>
    </row>
    <row r="532">
      <c r="B532" s="67"/>
    </row>
    <row r="533">
      <c r="B533" s="67"/>
    </row>
    <row r="534">
      <c r="B534" s="67"/>
    </row>
    <row r="535">
      <c r="B535" s="67"/>
    </row>
    <row r="536">
      <c r="B536" s="67"/>
    </row>
    <row r="537">
      <c r="B537" s="67"/>
    </row>
    <row r="538">
      <c r="B538" s="67"/>
    </row>
    <row r="539">
      <c r="B539" s="67"/>
    </row>
    <row r="540">
      <c r="B540" s="67"/>
    </row>
    <row r="541">
      <c r="B541" s="67"/>
    </row>
    <row r="542">
      <c r="B542" s="67"/>
    </row>
    <row r="543">
      <c r="B543" s="67"/>
    </row>
    <row r="544">
      <c r="B544" s="67"/>
    </row>
    <row r="545">
      <c r="B545" s="67"/>
    </row>
    <row r="546">
      <c r="B546" s="67"/>
    </row>
    <row r="547">
      <c r="B547" s="67"/>
    </row>
    <row r="548">
      <c r="B548" s="67"/>
    </row>
    <row r="549">
      <c r="B549" s="67"/>
    </row>
    <row r="550">
      <c r="B550" s="67"/>
    </row>
    <row r="551">
      <c r="B551" s="67"/>
    </row>
    <row r="552">
      <c r="B552" s="67"/>
    </row>
    <row r="553">
      <c r="B553" s="67"/>
    </row>
    <row r="554">
      <c r="B554" s="67"/>
    </row>
    <row r="555">
      <c r="B555" s="67"/>
    </row>
    <row r="556">
      <c r="B556" s="67"/>
    </row>
    <row r="557">
      <c r="B557" s="67"/>
    </row>
    <row r="558">
      <c r="B558" s="67"/>
    </row>
    <row r="559">
      <c r="B559" s="67"/>
    </row>
    <row r="560">
      <c r="B560" s="67"/>
    </row>
    <row r="561">
      <c r="B561" s="67"/>
    </row>
    <row r="562">
      <c r="B562" s="67"/>
    </row>
    <row r="563">
      <c r="B563" s="67"/>
    </row>
    <row r="564">
      <c r="B564" s="67"/>
    </row>
    <row r="565">
      <c r="B565" s="67"/>
    </row>
    <row r="566">
      <c r="B566" s="67"/>
    </row>
    <row r="567">
      <c r="B567" s="67"/>
    </row>
    <row r="568">
      <c r="B568" s="67"/>
    </row>
    <row r="569">
      <c r="B569" s="67"/>
    </row>
    <row r="570">
      <c r="B570" s="67"/>
    </row>
    <row r="571">
      <c r="B571" s="67"/>
    </row>
    <row r="572">
      <c r="B572" s="67"/>
    </row>
    <row r="573">
      <c r="B573" s="67"/>
    </row>
    <row r="574">
      <c r="B574" s="67"/>
    </row>
    <row r="575">
      <c r="B575" s="67"/>
    </row>
    <row r="576">
      <c r="B576" s="67"/>
    </row>
    <row r="577">
      <c r="B577" s="67"/>
    </row>
    <row r="578">
      <c r="B578" s="67"/>
    </row>
    <row r="579">
      <c r="B579" s="67"/>
    </row>
    <row r="580">
      <c r="B580" s="67"/>
    </row>
    <row r="581">
      <c r="B581" s="67"/>
    </row>
    <row r="582">
      <c r="B582" s="67"/>
    </row>
    <row r="583">
      <c r="B583" s="67"/>
    </row>
    <row r="584">
      <c r="B584" s="67"/>
    </row>
    <row r="585">
      <c r="B585" s="67"/>
    </row>
    <row r="586">
      <c r="B586" s="67"/>
    </row>
    <row r="587">
      <c r="B587" s="67"/>
    </row>
    <row r="588">
      <c r="B588" s="67"/>
    </row>
    <row r="589">
      <c r="B589" s="67"/>
    </row>
    <row r="590">
      <c r="B590" s="67"/>
    </row>
    <row r="591">
      <c r="B591" s="67"/>
    </row>
    <row r="592">
      <c r="B592" s="67"/>
    </row>
    <row r="593">
      <c r="B593" s="67"/>
    </row>
    <row r="594">
      <c r="B594" s="67"/>
    </row>
    <row r="595">
      <c r="B595" s="67"/>
    </row>
    <row r="596">
      <c r="B596" s="67"/>
    </row>
    <row r="597">
      <c r="B597" s="67"/>
    </row>
    <row r="598">
      <c r="B598" s="67"/>
    </row>
    <row r="599">
      <c r="B599" s="67"/>
    </row>
    <row r="600">
      <c r="B600" s="67"/>
    </row>
    <row r="601">
      <c r="B601" s="67"/>
    </row>
    <row r="602">
      <c r="B602" s="67"/>
    </row>
    <row r="603">
      <c r="B603" s="67"/>
    </row>
    <row r="604">
      <c r="B604" s="67"/>
    </row>
    <row r="605">
      <c r="B605" s="67"/>
    </row>
    <row r="606">
      <c r="B606" s="67"/>
    </row>
    <row r="607">
      <c r="B607" s="67"/>
    </row>
    <row r="608">
      <c r="B608" s="67"/>
    </row>
    <row r="609">
      <c r="B609" s="67"/>
    </row>
    <row r="610">
      <c r="B610" s="67"/>
    </row>
    <row r="611">
      <c r="B611" s="67"/>
    </row>
    <row r="612">
      <c r="B612" s="67"/>
    </row>
    <row r="613">
      <c r="B613" s="67"/>
    </row>
    <row r="614">
      <c r="B614" s="67"/>
    </row>
    <row r="615">
      <c r="B615" s="67"/>
    </row>
    <row r="616">
      <c r="B616" s="67"/>
    </row>
    <row r="617">
      <c r="B617" s="67"/>
    </row>
    <row r="618">
      <c r="B618" s="67"/>
    </row>
    <row r="619">
      <c r="B619" s="67"/>
    </row>
    <row r="620">
      <c r="B620" s="67"/>
    </row>
    <row r="621">
      <c r="B621" s="67"/>
    </row>
    <row r="622">
      <c r="B622" s="67"/>
    </row>
    <row r="623">
      <c r="B623" s="67"/>
    </row>
    <row r="624">
      <c r="B624" s="67"/>
    </row>
    <row r="625">
      <c r="B625" s="67"/>
    </row>
    <row r="626">
      <c r="B626" s="67"/>
    </row>
    <row r="627">
      <c r="B627" s="67"/>
    </row>
    <row r="628">
      <c r="B628" s="67"/>
    </row>
    <row r="629">
      <c r="B629" s="67"/>
    </row>
    <row r="630">
      <c r="B630" s="67"/>
    </row>
    <row r="631">
      <c r="B631" s="67"/>
    </row>
    <row r="632">
      <c r="B632" s="67"/>
    </row>
    <row r="633">
      <c r="B633" s="67"/>
    </row>
    <row r="634">
      <c r="B634" s="67"/>
    </row>
    <row r="635">
      <c r="B635" s="67"/>
    </row>
    <row r="636">
      <c r="B636" s="67"/>
    </row>
    <row r="637">
      <c r="B637" s="67"/>
    </row>
    <row r="638">
      <c r="B638" s="67"/>
    </row>
    <row r="639">
      <c r="B639" s="67"/>
    </row>
    <row r="640">
      <c r="B640" s="67"/>
    </row>
    <row r="641">
      <c r="B641" s="67"/>
    </row>
    <row r="642">
      <c r="B642" s="67"/>
    </row>
    <row r="643">
      <c r="B643" s="67"/>
    </row>
    <row r="644">
      <c r="B644" s="67"/>
    </row>
    <row r="645">
      <c r="B645" s="67"/>
    </row>
    <row r="646">
      <c r="B646" s="67"/>
    </row>
    <row r="647">
      <c r="B647" s="67"/>
    </row>
    <row r="648">
      <c r="B648" s="67"/>
    </row>
    <row r="649">
      <c r="B649" s="67"/>
    </row>
    <row r="650">
      <c r="B650" s="67"/>
    </row>
    <row r="651">
      <c r="B651" s="67"/>
    </row>
    <row r="652">
      <c r="B652" s="67"/>
    </row>
    <row r="653">
      <c r="B653" s="67"/>
    </row>
    <row r="654">
      <c r="B654" s="67"/>
    </row>
    <row r="655">
      <c r="B655" s="67"/>
    </row>
    <row r="656">
      <c r="B656" s="67"/>
    </row>
    <row r="657">
      <c r="B657" s="67"/>
    </row>
    <row r="658">
      <c r="B658" s="67"/>
    </row>
    <row r="659">
      <c r="B659" s="67"/>
    </row>
    <row r="660">
      <c r="B660" s="67"/>
    </row>
    <row r="661">
      <c r="B661" s="67"/>
    </row>
    <row r="662">
      <c r="B662" s="67"/>
    </row>
    <row r="663">
      <c r="B663" s="67"/>
    </row>
    <row r="664">
      <c r="B664" s="67"/>
    </row>
    <row r="665">
      <c r="B665" s="67"/>
    </row>
    <row r="666">
      <c r="B666" s="67"/>
    </row>
    <row r="667">
      <c r="B667" s="67"/>
    </row>
    <row r="668">
      <c r="B668" s="67"/>
    </row>
    <row r="669">
      <c r="B669" s="67"/>
    </row>
    <row r="670">
      <c r="B670" s="67"/>
    </row>
    <row r="671">
      <c r="B671" s="67"/>
    </row>
    <row r="672">
      <c r="B672" s="67"/>
    </row>
    <row r="673">
      <c r="B673" s="67"/>
    </row>
    <row r="674">
      <c r="B674" s="67"/>
    </row>
    <row r="675">
      <c r="B675" s="67"/>
    </row>
    <row r="676">
      <c r="B676" s="67"/>
    </row>
    <row r="677">
      <c r="B677" s="67"/>
    </row>
    <row r="678">
      <c r="B678" s="67"/>
    </row>
    <row r="679">
      <c r="B679" s="67"/>
    </row>
    <row r="680">
      <c r="B680" s="67"/>
    </row>
    <row r="681">
      <c r="B681" s="67"/>
    </row>
    <row r="682">
      <c r="B682" s="67"/>
    </row>
    <row r="683">
      <c r="B683" s="67"/>
    </row>
    <row r="684">
      <c r="B684" s="67"/>
    </row>
    <row r="685">
      <c r="B685" s="67"/>
    </row>
    <row r="686">
      <c r="B686" s="67"/>
    </row>
    <row r="687">
      <c r="B687" s="67"/>
    </row>
    <row r="688">
      <c r="B688" s="67"/>
    </row>
    <row r="689">
      <c r="B689" s="67"/>
    </row>
    <row r="690">
      <c r="B690" s="67"/>
    </row>
    <row r="691">
      <c r="B691" s="67"/>
    </row>
    <row r="692">
      <c r="B692" s="67"/>
    </row>
    <row r="693">
      <c r="B693" s="67"/>
    </row>
    <row r="694">
      <c r="B694" s="67"/>
    </row>
    <row r="695">
      <c r="B695" s="67"/>
    </row>
    <row r="696">
      <c r="B696" s="67"/>
    </row>
    <row r="697">
      <c r="B697" s="67"/>
    </row>
    <row r="698">
      <c r="B698" s="67"/>
    </row>
    <row r="699">
      <c r="B699" s="67"/>
    </row>
    <row r="700">
      <c r="B700" s="67"/>
    </row>
    <row r="701">
      <c r="B701" s="67"/>
    </row>
    <row r="702">
      <c r="B702" s="67"/>
    </row>
    <row r="703">
      <c r="B703" s="67"/>
    </row>
    <row r="704">
      <c r="B704" s="67"/>
    </row>
    <row r="705">
      <c r="B705" s="67"/>
    </row>
    <row r="706">
      <c r="B706" s="67"/>
    </row>
    <row r="707">
      <c r="B707" s="67"/>
    </row>
    <row r="708">
      <c r="B708" s="67"/>
    </row>
    <row r="709">
      <c r="B709" s="67"/>
    </row>
    <row r="710">
      <c r="B710" s="67"/>
    </row>
    <row r="711">
      <c r="B711" s="67"/>
    </row>
    <row r="712">
      <c r="B712" s="67"/>
    </row>
    <row r="713">
      <c r="B713" s="67"/>
    </row>
    <row r="714">
      <c r="B714" s="67"/>
    </row>
    <row r="715">
      <c r="B715" s="67"/>
    </row>
    <row r="716">
      <c r="B716" s="67"/>
    </row>
    <row r="717">
      <c r="B717" s="67"/>
    </row>
    <row r="718">
      <c r="B718" s="67"/>
    </row>
    <row r="719">
      <c r="B719" s="67"/>
    </row>
    <row r="720">
      <c r="B720" s="67"/>
    </row>
    <row r="721">
      <c r="B721" s="67"/>
    </row>
    <row r="722">
      <c r="B722" s="67"/>
    </row>
    <row r="723">
      <c r="B723" s="67"/>
    </row>
    <row r="724">
      <c r="B724" s="67"/>
    </row>
    <row r="725">
      <c r="B725" s="67"/>
    </row>
    <row r="726">
      <c r="B726" s="67"/>
    </row>
    <row r="727">
      <c r="B727" s="67"/>
    </row>
    <row r="728">
      <c r="B728" s="67"/>
    </row>
    <row r="729">
      <c r="B729" s="67"/>
    </row>
    <row r="730">
      <c r="B730" s="67"/>
    </row>
    <row r="731">
      <c r="B731" s="67"/>
    </row>
    <row r="732">
      <c r="B732" s="67"/>
    </row>
    <row r="733">
      <c r="B733" s="67"/>
    </row>
    <row r="734">
      <c r="B734" s="67"/>
    </row>
    <row r="735">
      <c r="B735" s="67"/>
    </row>
    <row r="736">
      <c r="B736" s="67"/>
    </row>
    <row r="737">
      <c r="B737" s="67"/>
    </row>
    <row r="738">
      <c r="B738" s="67"/>
    </row>
    <row r="739">
      <c r="B739" s="67"/>
    </row>
    <row r="740">
      <c r="B740" s="67"/>
    </row>
    <row r="741">
      <c r="B741" s="67"/>
    </row>
    <row r="742">
      <c r="B742" s="67"/>
    </row>
    <row r="743">
      <c r="B743" s="67"/>
    </row>
    <row r="744">
      <c r="B744" s="67"/>
    </row>
    <row r="745">
      <c r="B745" s="67"/>
    </row>
    <row r="746">
      <c r="B746" s="67"/>
    </row>
    <row r="747">
      <c r="B747" s="67"/>
    </row>
    <row r="748">
      <c r="B748" s="67"/>
    </row>
    <row r="749">
      <c r="B749" s="67"/>
    </row>
    <row r="750">
      <c r="B750" s="67"/>
    </row>
    <row r="751">
      <c r="B751" s="67"/>
    </row>
    <row r="752">
      <c r="B752" s="67"/>
    </row>
    <row r="753">
      <c r="B753" s="67"/>
    </row>
    <row r="754">
      <c r="B754" s="67"/>
    </row>
    <row r="755">
      <c r="B755" s="67"/>
    </row>
    <row r="756">
      <c r="B756" s="67"/>
    </row>
    <row r="757">
      <c r="B757" s="67"/>
    </row>
    <row r="758">
      <c r="B758" s="67"/>
    </row>
    <row r="759">
      <c r="B759" s="67"/>
    </row>
    <row r="760">
      <c r="B760" s="67"/>
    </row>
    <row r="761">
      <c r="B761" s="67"/>
    </row>
    <row r="762">
      <c r="B762" s="67"/>
    </row>
    <row r="763">
      <c r="B763" s="67"/>
    </row>
    <row r="764">
      <c r="B764" s="67"/>
    </row>
    <row r="765">
      <c r="B765" s="67"/>
    </row>
    <row r="766">
      <c r="B766" s="67"/>
    </row>
    <row r="767">
      <c r="B767" s="67"/>
    </row>
    <row r="768">
      <c r="B768" s="67"/>
    </row>
    <row r="769">
      <c r="B769" s="67"/>
    </row>
    <row r="770">
      <c r="B770" s="67"/>
    </row>
    <row r="771">
      <c r="B771" s="67"/>
    </row>
    <row r="772">
      <c r="B772" s="67"/>
    </row>
    <row r="773">
      <c r="B773" s="67"/>
    </row>
    <row r="774">
      <c r="B774" s="67"/>
    </row>
    <row r="775">
      <c r="B775" s="67"/>
    </row>
    <row r="776">
      <c r="B776" s="67"/>
    </row>
    <row r="777">
      <c r="B777" s="67"/>
    </row>
    <row r="778">
      <c r="B778" s="67"/>
    </row>
    <row r="779">
      <c r="B779" s="67"/>
    </row>
    <row r="780">
      <c r="B780" s="67"/>
    </row>
    <row r="781">
      <c r="B781" s="67"/>
    </row>
    <row r="782">
      <c r="B782" s="67"/>
    </row>
    <row r="783">
      <c r="B783" s="67"/>
    </row>
    <row r="784">
      <c r="B784" s="67"/>
    </row>
    <row r="785">
      <c r="B785" s="67"/>
    </row>
    <row r="786">
      <c r="B786" s="67"/>
    </row>
    <row r="787">
      <c r="B787" s="67"/>
    </row>
    <row r="788">
      <c r="B788" s="67"/>
    </row>
    <row r="789">
      <c r="B789" s="67"/>
    </row>
    <row r="790">
      <c r="B790" s="67"/>
    </row>
    <row r="791">
      <c r="B791" s="67"/>
    </row>
    <row r="792">
      <c r="B792" s="67"/>
    </row>
    <row r="793">
      <c r="B793" s="67"/>
    </row>
    <row r="794">
      <c r="B794" s="67"/>
    </row>
    <row r="795">
      <c r="B795" s="67"/>
    </row>
    <row r="796">
      <c r="B796" s="67"/>
    </row>
    <row r="797">
      <c r="B797" s="67"/>
    </row>
    <row r="798">
      <c r="B798" s="67"/>
    </row>
    <row r="799">
      <c r="B799" s="67"/>
    </row>
    <row r="800">
      <c r="B800" s="67"/>
    </row>
    <row r="801">
      <c r="B801" s="67"/>
    </row>
    <row r="802">
      <c r="B802" s="67"/>
    </row>
    <row r="803">
      <c r="B803" s="67"/>
    </row>
    <row r="804">
      <c r="B804" s="67"/>
    </row>
    <row r="805">
      <c r="B805" s="67"/>
    </row>
    <row r="806">
      <c r="B806" s="67"/>
    </row>
    <row r="807">
      <c r="B807" s="67"/>
    </row>
    <row r="808">
      <c r="B808" s="67"/>
    </row>
    <row r="809">
      <c r="B809" s="67"/>
    </row>
    <row r="810">
      <c r="B810" s="67"/>
    </row>
    <row r="811">
      <c r="B811" s="67"/>
    </row>
    <row r="812">
      <c r="B812" s="67"/>
    </row>
    <row r="813">
      <c r="B813" s="67"/>
    </row>
    <row r="814">
      <c r="B814" s="67"/>
    </row>
    <row r="815">
      <c r="B815" s="67"/>
    </row>
    <row r="816">
      <c r="B816" s="67"/>
    </row>
    <row r="817">
      <c r="B817" s="67"/>
    </row>
    <row r="818">
      <c r="B818" s="67"/>
    </row>
    <row r="819">
      <c r="B819" s="67"/>
    </row>
    <row r="820">
      <c r="B820" s="67"/>
    </row>
    <row r="821">
      <c r="B821" s="67"/>
    </row>
    <row r="822">
      <c r="B822" s="67"/>
    </row>
    <row r="823">
      <c r="B823" s="67"/>
    </row>
    <row r="824">
      <c r="B824" s="67"/>
    </row>
    <row r="825">
      <c r="B825" s="67"/>
    </row>
    <row r="826">
      <c r="B826" s="67"/>
    </row>
    <row r="827">
      <c r="B827" s="67"/>
    </row>
    <row r="828">
      <c r="B828" s="67"/>
    </row>
    <row r="829">
      <c r="B829" s="67"/>
    </row>
    <row r="830">
      <c r="B830" s="67"/>
    </row>
    <row r="831">
      <c r="B831" s="67"/>
    </row>
    <row r="832">
      <c r="B832" s="67"/>
    </row>
    <row r="833">
      <c r="B833" s="67"/>
    </row>
    <row r="834">
      <c r="B834" s="67"/>
    </row>
    <row r="835">
      <c r="B835" s="67"/>
    </row>
    <row r="836">
      <c r="B836" s="67"/>
    </row>
    <row r="837">
      <c r="B837" s="67"/>
    </row>
    <row r="838">
      <c r="B838" s="67"/>
    </row>
    <row r="839">
      <c r="B839" s="67"/>
    </row>
    <row r="840">
      <c r="B840" s="67"/>
    </row>
    <row r="841">
      <c r="B841" s="67"/>
    </row>
    <row r="842">
      <c r="B842" s="67"/>
    </row>
    <row r="843">
      <c r="B843" s="67"/>
    </row>
    <row r="844">
      <c r="B844" s="67"/>
    </row>
    <row r="845">
      <c r="B845" s="67"/>
    </row>
    <row r="846">
      <c r="B846" s="67"/>
    </row>
    <row r="847">
      <c r="B847" s="67"/>
    </row>
    <row r="848">
      <c r="B848" s="67"/>
    </row>
    <row r="849">
      <c r="B849" s="67"/>
    </row>
    <row r="850">
      <c r="B850" s="67"/>
    </row>
    <row r="851">
      <c r="B851" s="67"/>
    </row>
    <row r="852">
      <c r="B852" s="67"/>
    </row>
    <row r="853">
      <c r="B853" s="67"/>
    </row>
    <row r="854">
      <c r="B854" s="67"/>
    </row>
    <row r="855">
      <c r="B855" s="67"/>
    </row>
    <row r="856">
      <c r="B856" s="67"/>
    </row>
    <row r="857">
      <c r="B857" s="67"/>
    </row>
    <row r="858">
      <c r="B858" s="67"/>
    </row>
    <row r="859">
      <c r="B859" s="67"/>
    </row>
    <row r="860">
      <c r="B860" s="67"/>
    </row>
    <row r="861">
      <c r="B861" s="67"/>
    </row>
    <row r="862">
      <c r="B862" s="67"/>
    </row>
    <row r="863">
      <c r="B863" s="67"/>
    </row>
    <row r="864">
      <c r="B864" s="67"/>
    </row>
    <row r="865">
      <c r="B865" s="67"/>
    </row>
    <row r="866">
      <c r="B866" s="67"/>
    </row>
    <row r="867">
      <c r="B867" s="67"/>
    </row>
    <row r="868">
      <c r="B868" s="67"/>
    </row>
    <row r="869">
      <c r="B869" s="67"/>
    </row>
    <row r="870">
      <c r="B870" s="67"/>
    </row>
    <row r="871">
      <c r="B871" s="67"/>
    </row>
    <row r="872">
      <c r="B872" s="67"/>
    </row>
    <row r="873">
      <c r="B873" s="67"/>
    </row>
    <row r="874">
      <c r="B874" s="67"/>
    </row>
    <row r="875">
      <c r="B875" s="67"/>
    </row>
    <row r="876">
      <c r="B876" s="67"/>
    </row>
    <row r="877">
      <c r="B877" s="67"/>
    </row>
    <row r="878">
      <c r="B878" s="67"/>
    </row>
    <row r="879">
      <c r="B879" s="67"/>
    </row>
    <row r="880">
      <c r="B880" s="67"/>
    </row>
    <row r="881">
      <c r="B881" s="67"/>
    </row>
    <row r="882">
      <c r="B882" s="67"/>
    </row>
    <row r="883">
      <c r="B883" s="67"/>
    </row>
    <row r="884">
      <c r="B884" s="67"/>
    </row>
    <row r="885">
      <c r="B885" s="67"/>
    </row>
    <row r="886">
      <c r="B886" s="67"/>
    </row>
    <row r="887">
      <c r="B887" s="67"/>
    </row>
    <row r="888">
      <c r="B888" s="67"/>
    </row>
    <row r="889">
      <c r="B889" s="67"/>
    </row>
    <row r="890">
      <c r="B890" s="67"/>
    </row>
    <row r="891">
      <c r="B891" s="67"/>
    </row>
    <row r="892">
      <c r="B892" s="67"/>
    </row>
    <row r="893">
      <c r="B893" s="67"/>
    </row>
    <row r="894">
      <c r="B894" s="67"/>
    </row>
    <row r="895">
      <c r="B895" s="67"/>
    </row>
    <row r="896">
      <c r="B896" s="67"/>
    </row>
    <row r="897">
      <c r="B897" s="67"/>
    </row>
    <row r="898">
      <c r="B898" s="67"/>
    </row>
    <row r="899">
      <c r="B899" s="67"/>
    </row>
    <row r="900">
      <c r="B900" s="67"/>
    </row>
    <row r="901">
      <c r="B901" s="67"/>
    </row>
    <row r="902">
      <c r="B902" s="67"/>
    </row>
    <row r="903">
      <c r="B903" s="67"/>
    </row>
    <row r="904">
      <c r="B904" s="67"/>
    </row>
    <row r="905">
      <c r="B905" s="67"/>
    </row>
    <row r="906">
      <c r="B906" s="67"/>
    </row>
    <row r="907">
      <c r="B907" s="67"/>
    </row>
    <row r="908">
      <c r="B908" s="67"/>
    </row>
    <row r="909">
      <c r="B909" s="67"/>
    </row>
    <row r="910">
      <c r="B910" s="67"/>
    </row>
    <row r="911">
      <c r="B911" s="67"/>
    </row>
    <row r="912">
      <c r="B912" s="67"/>
    </row>
    <row r="913">
      <c r="B913" s="67"/>
    </row>
    <row r="914">
      <c r="B914" s="67"/>
    </row>
    <row r="915">
      <c r="B915" s="67"/>
    </row>
    <row r="916">
      <c r="B916" s="67"/>
    </row>
    <row r="917">
      <c r="B917" s="67"/>
    </row>
    <row r="918">
      <c r="B918" s="67"/>
    </row>
    <row r="919">
      <c r="B919" s="67"/>
    </row>
    <row r="920">
      <c r="B920" s="67"/>
    </row>
    <row r="921">
      <c r="B921" s="67"/>
    </row>
    <row r="922">
      <c r="B922" s="67"/>
    </row>
    <row r="923">
      <c r="B923" s="67"/>
    </row>
    <row r="924">
      <c r="B924" s="67"/>
    </row>
    <row r="925">
      <c r="B925" s="67"/>
    </row>
    <row r="926">
      <c r="B926" s="67"/>
    </row>
    <row r="927">
      <c r="B927" s="67"/>
    </row>
    <row r="928">
      <c r="B928" s="67"/>
    </row>
    <row r="929">
      <c r="B929" s="67"/>
    </row>
    <row r="930">
      <c r="B930" s="67"/>
    </row>
    <row r="931">
      <c r="B931" s="67"/>
    </row>
    <row r="932">
      <c r="B932" s="67"/>
    </row>
    <row r="933">
      <c r="B933" s="67"/>
    </row>
    <row r="934">
      <c r="B934" s="67"/>
    </row>
    <row r="935">
      <c r="B935" s="67"/>
    </row>
    <row r="936">
      <c r="B936" s="67"/>
    </row>
    <row r="937">
      <c r="B937" s="67"/>
    </row>
    <row r="938">
      <c r="B938" s="67"/>
    </row>
    <row r="939">
      <c r="B939" s="67"/>
    </row>
    <row r="940">
      <c r="B940" s="67"/>
    </row>
    <row r="941">
      <c r="B941" s="67"/>
    </row>
    <row r="942">
      <c r="B942" s="67"/>
    </row>
    <row r="943">
      <c r="B943" s="67"/>
    </row>
    <row r="944">
      <c r="B944" s="67"/>
    </row>
    <row r="945">
      <c r="B945" s="67"/>
    </row>
    <row r="946">
      <c r="B946" s="67"/>
    </row>
    <row r="947">
      <c r="B947" s="67"/>
    </row>
    <row r="948">
      <c r="B948" s="67"/>
    </row>
    <row r="949">
      <c r="B949" s="67"/>
    </row>
    <row r="950">
      <c r="B950" s="67"/>
    </row>
    <row r="951">
      <c r="B951" s="67"/>
    </row>
    <row r="952">
      <c r="B952" s="67"/>
    </row>
    <row r="953">
      <c r="B953" s="67"/>
    </row>
    <row r="954">
      <c r="B954" s="67"/>
    </row>
    <row r="955">
      <c r="B955" s="67"/>
    </row>
    <row r="956">
      <c r="B956" s="67"/>
    </row>
    <row r="957">
      <c r="B957" s="67"/>
    </row>
    <row r="958">
      <c r="B958" s="67"/>
    </row>
    <row r="959">
      <c r="B959" s="67"/>
    </row>
    <row r="960">
      <c r="B960" s="67"/>
    </row>
    <row r="961">
      <c r="B961" s="67"/>
    </row>
    <row r="962">
      <c r="B962" s="67"/>
    </row>
    <row r="963">
      <c r="B963" s="67"/>
    </row>
    <row r="964">
      <c r="B964" s="67"/>
    </row>
    <row r="965">
      <c r="B965" s="67"/>
    </row>
    <row r="966">
      <c r="B966" s="67"/>
    </row>
    <row r="967">
      <c r="B967" s="67"/>
    </row>
    <row r="968">
      <c r="B968" s="67"/>
    </row>
    <row r="969">
      <c r="B969" s="67"/>
    </row>
    <row r="970">
      <c r="B970" s="67"/>
    </row>
    <row r="971">
      <c r="B971" s="67"/>
    </row>
    <row r="972">
      <c r="B972" s="67"/>
    </row>
    <row r="973">
      <c r="B973" s="67"/>
    </row>
    <row r="974">
      <c r="B974" s="67"/>
    </row>
    <row r="975">
      <c r="B975" s="67"/>
    </row>
    <row r="976">
      <c r="B976" s="67"/>
    </row>
    <row r="977">
      <c r="B977" s="67"/>
    </row>
    <row r="978">
      <c r="B978" s="67"/>
    </row>
    <row r="979">
      <c r="B979" s="67"/>
    </row>
    <row r="980">
      <c r="B980" s="67"/>
    </row>
    <row r="981">
      <c r="B981" s="67"/>
    </row>
    <row r="982">
      <c r="B982" s="67"/>
    </row>
    <row r="983">
      <c r="B983" s="67"/>
    </row>
    <row r="984">
      <c r="B984" s="67"/>
    </row>
    <row r="985">
      <c r="B985" s="67"/>
    </row>
    <row r="986">
      <c r="B986" s="67"/>
    </row>
    <row r="987">
      <c r="B987" s="67"/>
    </row>
    <row r="988">
      <c r="B988" s="67"/>
    </row>
    <row r="989">
      <c r="B989" s="67"/>
    </row>
    <row r="990">
      <c r="B990" s="67"/>
    </row>
    <row r="991">
      <c r="B991" s="67"/>
    </row>
    <row r="992">
      <c r="B992" s="67"/>
    </row>
    <row r="993">
      <c r="B993" s="67"/>
    </row>
    <row r="994">
      <c r="B994" s="67"/>
    </row>
    <row r="995">
      <c r="B995" s="67"/>
    </row>
    <row r="996">
      <c r="B996" s="67"/>
    </row>
    <row r="997">
      <c r="B997" s="67"/>
    </row>
    <row r="998">
      <c r="B998" s="67"/>
    </row>
    <row r="999">
      <c r="B999" s="67"/>
    </row>
    <row r="1000">
      <c r="B1000" s="6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5.13"/>
    <col customWidth="1" min="4" max="4" width="16.5"/>
  </cols>
  <sheetData>
    <row r="1">
      <c r="A1" s="1" t="s">
        <v>43</v>
      </c>
      <c r="B1" s="6" t="s">
        <v>31</v>
      </c>
      <c r="C1" s="1" t="s">
        <v>44</v>
      </c>
      <c r="D1" s="1" t="s">
        <v>52</v>
      </c>
    </row>
    <row r="2">
      <c r="A2" s="2" t="s">
        <v>4</v>
      </c>
      <c r="B2" s="71">
        <v>1.9308630351E10</v>
      </c>
      <c r="C2" s="2">
        <v>0.036</v>
      </c>
      <c r="D2" s="62">
        <f>SUM(C2:C6)</f>
        <v>0.414</v>
      </c>
    </row>
    <row r="3">
      <c r="A3" s="2" t="s">
        <v>46</v>
      </c>
      <c r="B3" s="61">
        <v>3.8909234125E10</v>
      </c>
      <c r="C3" s="2">
        <v>0.073</v>
      </c>
    </row>
    <row r="4">
      <c r="A4" s="2" t="s">
        <v>8</v>
      </c>
      <c r="B4" s="61">
        <v>1.42486527495E11</v>
      </c>
      <c r="C4" s="2">
        <v>0.267</v>
      </c>
    </row>
    <row r="5">
      <c r="A5" s="2" t="s">
        <v>47</v>
      </c>
      <c r="B5" s="61">
        <v>1.521597897E10</v>
      </c>
      <c r="C5" s="2">
        <v>0.028</v>
      </c>
    </row>
    <row r="6">
      <c r="A6" s="2" t="s">
        <v>48</v>
      </c>
      <c r="B6" s="61">
        <v>5.604812191E9</v>
      </c>
      <c r="C6" s="2">
        <v>0.01</v>
      </c>
    </row>
    <row r="7">
      <c r="B7" s="72">
        <f>SUM(B2:B6)</f>
        <v>221525183132</v>
      </c>
    </row>
    <row r="10">
      <c r="B10" s="61"/>
      <c r="C10" s="7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  <col customWidth="1" min="4" max="4" width="23.5"/>
    <col customWidth="1" min="5" max="5" width="24.63"/>
  </cols>
  <sheetData>
    <row r="1">
      <c r="A1" s="83" t="s">
        <v>53</v>
      </c>
      <c r="B1" s="83" t="s">
        <v>15</v>
      </c>
      <c r="C1" s="83" t="s">
        <v>54</v>
      </c>
      <c r="D1" s="83" t="s">
        <v>55</v>
      </c>
      <c r="E1" s="83" t="s">
        <v>56</v>
      </c>
    </row>
    <row r="2">
      <c r="A2" s="84">
        <v>2024.0</v>
      </c>
      <c r="B2" s="84" t="s">
        <v>4</v>
      </c>
      <c r="C2" s="84" t="s">
        <v>57</v>
      </c>
      <c r="D2" s="85">
        <v>1.9308630351E10</v>
      </c>
      <c r="E2" s="84">
        <v>0.037</v>
      </c>
    </row>
    <row r="3">
      <c r="A3" s="84">
        <v>2024.0</v>
      </c>
      <c r="B3" s="84" t="s">
        <v>6</v>
      </c>
      <c r="C3" s="84" t="s">
        <v>58</v>
      </c>
      <c r="D3" s="85">
        <v>3.8909234125E10</v>
      </c>
      <c r="E3" s="84">
        <v>0.076</v>
      </c>
    </row>
    <row r="4">
      <c r="A4" s="84">
        <v>2024.0</v>
      </c>
      <c r="B4" s="84" t="s">
        <v>8</v>
      </c>
      <c r="C4" s="84" t="s">
        <v>59</v>
      </c>
      <c r="D4" s="85">
        <v>1.42486527495E11</v>
      </c>
      <c r="E4" s="84">
        <v>0.27</v>
      </c>
    </row>
    <row r="5">
      <c r="A5" s="84">
        <v>2024.0</v>
      </c>
      <c r="B5" s="84" t="s">
        <v>10</v>
      </c>
      <c r="C5" s="84" t="s">
        <v>60</v>
      </c>
      <c r="D5" s="85">
        <v>1.521597897E10</v>
      </c>
      <c r="E5" s="84">
        <v>0.029</v>
      </c>
    </row>
    <row r="6">
      <c r="A6" s="84">
        <v>2024.0</v>
      </c>
      <c r="B6" s="84" t="s">
        <v>12</v>
      </c>
      <c r="C6" s="84" t="s">
        <v>61</v>
      </c>
      <c r="D6" s="85">
        <v>5.604812191E9</v>
      </c>
      <c r="E6" s="84">
        <v>0.01</v>
      </c>
    </row>
    <row r="7">
      <c r="A7" s="84">
        <v>2025.0</v>
      </c>
      <c r="B7" s="84" t="s">
        <v>4</v>
      </c>
      <c r="C7" s="84" t="s">
        <v>57</v>
      </c>
      <c r="D7" s="85">
        <v>1.9308630351E10</v>
      </c>
      <c r="E7" s="84">
        <v>0.036</v>
      </c>
    </row>
    <row r="8">
      <c r="A8" s="84">
        <v>2025.0</v>
      </c>
      <c r="B8" s="84" t="s">
        <v>6</v>
      </c>
      <c r="C8" s="84" t="s">
        <v>58</v>
      </c>
      <c r="D8" s="85">
        <v>3.8909234125E10</v>
      </c>
      <c r="E8" s="84">
        <v>0.073</v>
      </c>
    </row>
    <row r="9">
      <c r="A9" s="84">
        <v>2025.0</v>
      </c>
      <c r="B9" s="84" t="s">
        <v>8</v>
      </c>
      <c r="C9" s="84" t="s">
        <v>59</v>
      </c>
      <c r="D9" s="85">
        <v>1.42486527495E11</v>
      </c>
      <c r="E9" s="84">
        <v>0.267</v>
      </c>
    </row>
    <row r="10">
      <c r="A10" s="84">
        <v>2025.0</v>
      </c>
      <c r="B10" s="84" t="s">
        <v>10</v>
      </c>
      <c r="C10" s="84" t="s">
        <v>60</v>
      </c>
      <c r="D10" s="85">
        <v>1.521597897E10</v>
      </c>
      <c r="E10" s="84">
        <v>0.028</v>
      </c>
    </row>
    <row r="11">
      <c r="A11" s="84">
        <v>2025.0</v>
      </c>
      <c r="B11" s="84" t="s">
        <v>12</v>
      </c>
      <c r="C11" s="84" t="s">
        <v>61</v>
      </c>
      <c r="D11" s="85">
        <v>5.604812191E9</v>
      </c>
      <c r="E11" s="84">
        <v>0.01</v>
      </c>
    </row>
    <row r="13">
      <c r="A13" s="83"/>
      <c r="B13" s="83"/>
      <c r="C13" s="83"/>
      <c r="D13" s="83"/>
    </row>
    <row r="14">
      <c r="A14" s="84"/>
      <c r="B14" s="84"/>
      <c r="C14" s="84"/>
      <c r="D14" s="84"/>
    </row>
    <row r="15">
      <c r="A15" s="84"/>
      <c r="B15" s="84"/>
      <c r="C15" s="84"/>
      <c r="D15" s="84"/>
    </row>
    <row r="16">
      <c r="A16" s="84"/>
      <c r="B16" s="84"/>
      <c r="C16" s="84"/>
      <c r="D16" s="84"/>
    </row>
    <row r="17">
      <c r="A17" s="84"/>
      <c r="B17" s="84"/>
      <c r="C17" s="84"/>
      <c r="D17" s="84"/>
    </row>
    <row r="18">
      <c r="A18" s="84"/>
      <c r="B18" s="84"/>
      <c r="C18" s="84"/>
      <c r="D18" s="84"/>
    </row>
    <row r="19">
      <c r="A19" s="84"/>
      <c r="B19" s="84"/>
      <c r="C19" s="84"/>
      <c r="D19" s="84"/>
    </row>
    <row r="20">
      <c r="A20" s="84"/>
      <c r="B20" s="84"/>
      <c r="C20" s="84"/>
      <c r="D20" s="84"/>
    </row>
    <row r="21">
      <c r="A21" s="84"/>
      <c r="B21" s="84"/>
      <c r="C21" s="84"/>
      <c r="D21" s="84"/>
    </row>
    <row r="22">
      <c r="A22" s="84"/>
      <c r="B22" s="84"/>
      <c r="C22" s="84"/>
      <c r="D22" s="84"/>
    </row>
    <row r="23">
      <c r="A23" s="84"/>
      <c r="B23" s="84"/>
      <c r="C23" s="84"/>
      <c r="D23" s="84"/>
    </row>
  </sheetData>
  <drawing r:id="rId1"/>
</worksheet>
</file>